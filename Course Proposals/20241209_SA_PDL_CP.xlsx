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weisoon_thia\OneDrive - Singapore University of Technology and Design\Desktop_2025\Product Team\New MMDS\Deep Learning\"/>
    </mc:Choice>
  </mc:AlternateContent>
  <xr:revisionPtr revIDLastSave="0" documentId="13_ncr:1_{0BF5EDC2-9E92-499F-B134-D51CA54FB4D0}" xr6:coauthVersionLast="47" xr6:coauthVersionMax="47" xr10:uidLastSave="{00000000-0000-0000-0000-000000000000}"/>
  <bookViews>
    <workbookView xWindow="-110" yWindow="-110" windowWidth="19420" windowHeight="11500" tabRatio="976" xr2:uid="{00000000-000D-0000-FFFF-FFFF00000000}"/>
  </bookViews>
  <sheets>
    <sheet name="(1) Course Details" sheetId="1" r:id="rId1"/>
    <sheet name="(2) Course Outline" sheetId="2" r:id="rId2"/>
    <sheet name="(3) Assessment Outline" sheetId="6" r:id="rId3"/>
    <sheet name="(4) Course Resource " sheetId="3" r:id="rId4"/>
    <sheet name="(5) Instructor Details" sheetId="4" r:id="rId5"/>
    <sheet name="Glossary" sheetId="5" r:id="rId6"/>
  </sheets>
  <definedNames>
    <definedName name="NMC" localSheetId="2">#REF!</definedName>
    <definedName name="NM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6" l="1"/>
  <c r="B45" i="6"/>
  <c r="D54" i="2"/>
  <c r="G54" i="2"/>
  <c r="C54" i="2"/>
  <c r="H45" i="2"/>
  <c r="H46" i="2"/>
  <c r="H47" i="2"/>
  <c r="H52" i="2"/>
  <c r="H51" i="2"/>
  <c r="H50" i="2"/>
  <c r="H49" i="2"/>
  <c r="H41" i="2"/>
  <c r="H42" i="2"/>
  <c r="H43" i="2"/>
  <c r="H32" i="2"/>
  <c r="H33" i="2"/>
  <c r="H34" i="2"/>
  <c r="H35" i="2"/>
  <c r="H36" i="2"/>
  <c r="H37" i="2"/>
  <c r="H38" i="2"/>
  <c r="H23" i="2"/>
  <c r="H24" i="2"/>
  <c r="H25" i="2"/>
  <c r="H26" i="2"/>
  <c r="H27" i="2"/>
  <c r="H28" i="2"/>
  <c r="H29" i="2"/>
  <c r="D30" i="6"/>
  <c r="D29" i="6"/>
  <c r="D28" i="6"/>
  <c r="H22" i="2" l="1"/>
  <c r="H20" i="2"/>
  <c r="H18" i="2"/>
  <c r="H17" i="2"/>
  <c r="H14" i="2"/>
  <c r="H15" i="2"/>
  <c r="H16" i="2"/>
  <c r="H13" i="2"/>
  <c r="A1" i="4" l="1"/>
  <c r="G28" i="3"/>
  <c r="A1" i="3"/>
  <c r="H44" i="2"/>
  <c r="H40" i="2"/>
  <c r="H31" i="2"/>
  <c r="H11" i="2"/>
  <c r="H9" i="2"/>
  <c r="H8" i="2"/>
  <c r="A1" i="2"/>
  <c r="H54" i="2" l="1"/>
  <c r="H56" i="2"/>
</calcChain>
</file>

<file path=xl/sharedStrings.xml><?xml version="1.0" encoding="utf-8"?>
<sst xmlns="http://schemas.openxmlformats.org/spreadsheetml/2006/main" count="272" uniqueCount="202">
  <si>
    <t>New Course Proposal Form for SUTD Academy</t>
  </si>
  <si>
    <t>(1) Course Details</t>
  </si>
  <si>
    <r>
      <rPr>
        <sz val="14"/>
        <color rgb="FF000000"/>
        <rFont val="Calibri"/>
        <family val="2"/>
        <charset val="1"/>
      </rPr>
      <t>(a) Please select from the above droplist for the form intend.</t>
    </r>
    <r>
      <rPr>
        <b/>
        <sz val="14"/>
        <color rgb="FFC00000"/>
        <rFont val="Calibri"/>
        <family val="2"/>
        <charset val="1"/>
      </rPr>
      <t xml:space="preserve"> </t>
    </r>
    <r>
      <rPr>
        <b/>
        <sz val="18"/>
        <color rgb="FFC00000"/>
        <rFont val="Calibri"/>
        <family val="2"/>
        <charset val="1"/>
      </rPr>
      <t>^^^</t>
    </r>
  </si>
  <si>
    <t xml:space="preserve">(b) All sections below must be completed by filling in the blank spaces </t>
  </si>
  <si>
    <t>Course Title :</t>
  </si>
  <si>
    <t>Course Level :</t>
  </si>
  <si>
    <t>Please kindly select from the droplists. For more informations, refer to Glossary tab.</t>
  </si>
  <si>
    <t>Advanced Level</t>
  </si>
  <si>
    <t>Course Duration (Days) :</t>
  </si>
  <si>
    <t>Indicate number of days. Each day consists of 7 contact hours and 1 hour lunch. (9am - 5pm)</t>
  </si>
  <si>
    <t xml:space="preserve">Maximum Class Size : </t>
  </si>
  <si>
    <t>Course Description :</t>
  </si>
  <si>
    <t>Describe the objectives of the course and how it seeks to equip learners with the necessary skills for the relevant job roles. Explain how the learners apply the skills in his/her work.</t>
  </si>
  <si>
    <t>Learning Outcome</t>
  </si>
  <si>
    <r>
      <rPr>
        <i/>
        <sz val="10"/>
        <color rgb="FF203864"/>
        <rFont val="Calibri"/>
        <family val="2"/>
        <charset val="1"/>
      </rPr>
      <t xml:space="preserve">(Example)
By the end of this course, participants should be able to / can expect to:
</t>
    </r>
    <r>
      <rPr>
        <i/>
        <sz val="10"/>
        <color rgb="FFC00000"/>
        <rFont val="Calibri"/>
        <family val="2"/>
        <charset val="1"/>
      </rPr>
      <t>a.</t>
    </r>
    <r>
      <rPr>
        <i/>
        <sz val="10"/>
        <color rgb="FF203864"/>
        <rFont val="Calibri"/>
        <family val="2"/>
        <charset val="1"/>
      </rPr>
      <t xml:space="preserve">  Perform the deployment role for a junior data scientist and / or a data engineering role
</t>
    </r>
    <r>
      <rPr>
        <i/>
        <sz val="10"/>
        <color rgb="FFC00000"/>
        <rFont val="Calibri"/>
        <family val="2"/>
        <charset val="1"/>
      </rPr>
      <t>b.</t>
    </r>
    <r>
      <rPr>
        <i/>
        <sz val="10"/>
        <color rgb="FF203864"/>
        <rFont val="Calibri"/>
        <family val="2"/>
        <charset val="1"/>
      </rPr>
      <t xml:space="preserve">Understand the types of data and databases
</t>
    </r>
    <r>
      <rPr>
        <i/>
        <sz val="10"/>
        <color rgb="FFC00000"/>
        <rFont val="Calibri"/>
        <family val="2"/>
        <charset val="1"/>
      </rPr>
      <t>c</t>
    </r>
    <r>
      <rPr>
        <i/>
        <sz val="10"/>
        <color rgb="FF203864"/>
        <rFont val="Calibri"/>
        <family val="2"/>
        <charset val="1"/>
      </rPr>
      <t xml:space="preserve">. Appreciate the use of data dictionary and harness the potential metadata for data science </t>
    </r>
  </si>
  <si>
    <t>Lists down the learning outcome of the course.</t>
  </si>
  <si>
    <t>Target Audience</t>
  </si>
  <si>
    <r>
      <rPr>
        <i/>
        <sz val="10"/>
        <color rgb="FF203864"/>
        <rFont val="Calibri"/>
        <family val="2"/>
        <charset val="1"/>
      </rPr>
      <t xml:space="preserve">(Example)
</t>
    </r>
    <r>
      <rPr>
        <i/>
        <sz val="10"/>
        <color rgb="FFC00000"/>
        <rFont val="Calibri"/>
        <family val="2"/>
        <charset val="1"/>
      </rPr>
      <t>a</t>
    </r>
    <r>
      <rPr>
        <i/>
        <sz val="10"/>
        <color rgb="FF203864"/>
        <rFont val="Calibri"/>
        <family val="2"/>
        <charset val="1"/>
      </rPr>
      <t xml:space="preserve">.Participants in roles which require understanding and deployment of database in the context for data science.
</t>
    </r>
    <r>
      <rPr>
        <i/>
        <sz val="10"/>
        <color rgb="FFC00000"/>
        <rFont val="Calibri"/>
        <family val="2"/>
        <charset val="1"/>
      </rPr>
      <t>b.</t>
    </r>
    <r>
      <rPr>
        <i/>
        <sz val="10"/>
        <color rgb="FF203864"/>
        <rFont val="Calibri"/>
        <family val="2"/>
        <charset val="1"/>
      </rPr>
      <t xml:space="preserve">Aspiring data analysts/database administrators/engineers or data engineers looking to acquire skills .
</t>
    </r>
    <r>
      <rPr>
        <i/>
        <sz val="10"/>
        <color rgb="FFC00000"/>
        <rFont val="Calibri"/>
        <family val="2"/>
        <charset val="1"/>
      </rPr>
      <t xml:space="preserve">c. </t>
    </r>
    <r>
      <rPr>
        <i/>
        <sz val="10"/>
        <color rgb="FF203864"/>
        <rFont val="Calibri"/>
        <family val="2"/>
        <charset val="1"/>
      </rPr>
      <t>Ideal for participants who are in or looking to acquire skills for roles such as entry-level Data Analysts/Data Engineers.</t>
    </r>
  </si>
  <si>
    <r>
      <rPr>
        <i/>
        <sz val="10"/>
        <color rgb="FF000000"/>
        <rFont val="Calibri"/>
        <family val="2"/>
        <charset val="1"/>
      </rPr>
      <t xml:space="preserve">State the occupations/job roles that the course caters to.
</t>
    </r>
    <r>
      <rPr>
        <i/>
        <sz val="10"/>
        <color rgb="FF595959"/>
        <rFont val="Calibri"/>
        <family val="2"/>
        <charset val="1"/>
      </rPr>
      <t>Who should attend? 
(Demographics, Positions / Job Title, Industry, Nature of work, etc.)</t>
    </r>
  </si>
  <si>
    <t>Minimum Entry Requirements</t>
  </si>
  <si>
    <r>
      <rPr>
        <i/>
        <sz val="10"/>
        <color rgb="FF203864"/>
        <rFont val="Calibri"/>
        <family val="2"/>
        <charset val="1"/>
      </rPr>
      <t xml:space="preserve">(Example)
</t>
    </r>
    <r>
      <rPr>
        <i/>
        <sz val="10"/>
        <color rgb="FFC00000"/>
        <rFont val="Calibri"/>
        <family val="2"/>
        <charset val="1"/>
      </rPr>
      <t>a.</t>
    </r>
    <r>
      <rPr>
        <i/>
        <sz val="10"/>
        <color rgb="FF203864"/>
        <rFont val="Calibri"/>
        <family val="2"/>
        <charset val="1"/>
      </rPr>
      <t xml:space="preserve"> O level Mathematics Qualifications 
</t>
    </r>
    <r>
      <rPr>
        <i/>
        <sz val="10"/>
        <color rgb="FFC00000"/>
        <rFont val="Calibri"/>
        <family val="2"/>
        <charset val="1"/>
      </rPr>
      <t>b.</t>
    </r>
    <r>
      <rPr>
        <i/>
        <sz val="10"/>
        <color rgb="FF203864"/>
        <rFont val="Calibri"/>
        <family val="2"/>
        <charset val="1"/>
      </rPr>
      <t xml:space="preserve"> Basic knowledge of programming
</t>
    </r>
    <r>
      <rPr>
        <i/>
        <sz val="10"/>
        <color rgb="FFC00000"/>
        <rFont val="Calibri"/>
        <family val="2"/>
        <charset val="1"/>
      </rPr>
      <t xml:space="preserve">c. </t>
    </r>
    <r>
      <rPr>
        <i/>
        <sz val="10"/>
        <color rgb="FF203864"/>
        <rFont val="Calibri"/>
        <family val="2"/>
        <charset val="1"/>
      </rPr>
      <t xml:space="preserve">Basic IT knowledge </t>
    </r>
  </si>
  <si>
    <t>Indicate the minimum criteria to be satisfied by a student who would be enrolled in the course.</t>
  </si>
  <si>
    <t>Mode of assessment</t>
  </si>
  <si>
    <r>
      <rPr>
        <i/>
        <sz val="10"/>
        <color rgb="FF203864"/>
        <rFont val="Calibri"/>
        <family val="2"/>
        <charset val="1"/>
      </rPr>
      <t xml:space="preserve">(Example)
</t>
    </r>
    <r>
      <rPr>
        <i/>
        <sz val="10"/>
        <color rgb="FFC00000"/>
        <rFont val="Calibri"/>
        <family val="2"/>
        <charset val="1"/>
      </rPr>
      <t>a.</t>
    </r>
    <r>
      <rPr>
        <i/>
        <sz val="10"/>
        <color rgb="FF203864"/>
        <rFont val="Calibri"/>
        <family val="2"/>
        <charset val="1"/>
      </rPr>
      <t xml:space="preserve"> Written Test
</t>
    </r>
    <r>
      <rPr>
        <i/>
        <sz val="10"/>
        <color rgb="FFC00000"/>
        <rFont val="Calibri"/>
        <family val="2"/>
        <charset val="1"/>
      </rPr>
      <t>b.</t>
    </r>
    <r>
      <rPr>
        <i/>
        <sz val="10"/>
        <color rgb="FF203864"/>
        <rFont val="Calibri"/>
        <family val="2"/>
        <charset val="1"/>
      </rPr>
      <t xml:space="preserve"> Online Quiz
</t>
    </r>
    <r>
      <rPr>
        <i/>
        <sz val="10"/>
        <color rgb="FFC00000"/>
        <rFont val="Calibri"/>
        <family val="2"/>
        <charset val="1"/>
      </rPr>
      <t xml:space="preserve">c. </t>
    </r>
    <r>
      <rPr>
        <i/>
        <sz val="10"/>
        <color rgb="FF002060"/>
        <rFont val="Calibri"/>
        <family val="2"/>
        <charset val="1"/>
      </rPr>
      <t xml:space="preserve">Oral Assessment
</t>
    </r>
  </si>
  <si>
    <t xml:space="preserve">Indicate the mode of assessment </t>
  </si>
  <si>
    <t>1) Class participation, 10%
2) Lab Sessions, 60%
3) Quizzes, 30%</t>
  </si>
  <si>
    <t>(2) Course Outline</t>
  </si>
  <si>
    <t xml:space="preserve">(a)  All sections below must be completed by filling in the blank spaces </t>
  </si>
  <si>
    <r>
      <rPr>
        <b/>
        <sz val="14"/>
        <color rgb="FF000000"/>
        <rFont val="Calibri"/>
        <family val="2"/>
        <charset val="1"/>
      </rPr>
      <t xml:space="preserve">Please plan according to the following parameters = </t>
    </r>
    <r>
      <rPr>
        <b/>
        <sz val="20"/>
        <color rgb="FFFF0000"/>
        <rFont val="Calibri"/>
        <family val="2"/>
        <charset val="1"/>
      </rPr>
      <t>1 programme/course day = 7  hours</t>
    </r>
    <r>
      <rPr>
        <b/>
        <sz val="14"/>
        <color rgb="FF000000"/>
        <rFont val="Calibri"/>
        <family val="2"/>
        <charset val="1"/>
      </rPr>
      <t xml:space="preserve"> ( excluding 1 hour lunch break)</t>
    </r>
  </si>
  <si>
    <t>Topic</t>
  </si>
  <si>
    <r>
      <rPr>
        <b/>
        <sz val="12"/>
        <rFont val="Calibri"/>
        <family val="2"/>
        <charset val="1"/>
      </rPr>
      <t>Duration</t>
    </r>
    <r>
      <rPr>
        <b/>
        <sz val="18"/>
        <color rgb="FFFF0000"/>
        <rFont val="Calibri"/>
        <family val="2"/>
        <charset val="1"/>
      </rPr>
      <t xml:space="preserve"> (hours) 
</t>
    </r>
    <r>
      <rPr>
        <b/>
        <sz val="12"/>
        <rFont val="Calibri"/>
        <family val="2"/>
        <charset val="1"/>
      </rPr>
      <t>(Indicate breakdown in different modes &amp; total duration)</t>
    </r>
  </si>
  <si>
    <t>Date</t>
  </si>
  <si>
    <t>a) Facilitated Learning (F2F)</t>
  </si>
  <si>
    <t>b) E-Learning</t>
  </si>
  <si>
    <t>c) Project</t>
  </si>
  <si>
    <t>d) Assessment</t>
  </si>
  <si>
    <t>e) Practical/ Lab Session</t>
  </si>
  <si>
    <t>Total Duration
(a)+(b)+(c)+(d)+( e)</t>
  </si>
  <si>
    <t>Day 1</t>
  </si>
  <si>
    <t>Lunch</t>
  </si>
  <si>
    <t>• Overfitting, underfitting, generatization and ways to control it</t>
  </si>
  <si>
    <t>Day 2</t>
  </si>
  <si>
    <t>o Recognizing over- and underfitting, losses and regularization on losses.</t>
  </si>
  <si>
    <t>• Implementing our first Shallow Neural Network</t>
  </si>
  <si>
    <t>o Understanding the BackProp method and how it is used to train models. Implementation of a BackProp in Numpy for our Shallow Neural Network.</t>
  </si>
  <si>
    <t>Day 3</t>
  </si>
  <si>
    <t>o Lab session and assessment.</t>
  </si>
  <si>
    <t>• The PyTorch library and the Tensor object</t>
  </si>
  <si>
    <t>Day 4</t>
  </si>
  <si>
    <t>o Introducing the PyTorch library and Tensor datatype. Basic operations on tensors. Practice. Using PyTorch to rewrite our Shallow Neural Network and its forward method.</t>
  </si>
  <si>
    <t>Day 5</t>
  </si>
  <si>
    <t>Sub-Total</t>
  </si>
  <si>
    <t>Total Training Hours</t>
  </si>
  <si>
    <t>(3) Assessment Outline (Example)</t>
  </si>
  <si>
    <t>Assessment Component</t>
  </si>
  <si>
    <t>Description</t>
  </si>
  <si>
    <t>Involvement</t>
  </si>
  <si>
    <t>Percentage (%)</t>
  </si>
  <si>
    <t>Period</t>
  </si>
  <si>
    <t>Remarks</t>
  </si>
  <si>
    <t>(E.g. Class Participation, Online Quiz, Written Test, Assignment, Team Project, etc.)</t>
  </si>
  <si>
    <t>(Please indicate which lesson/ period)</t>
  </si>
  <si>
    <t>Example:</t>
  </si>
  <si>
    <t>Class Participation</t>
  </si>
  <si>
    <t>Individual</t>
  </si>
  <si>
    <t>Lesson 1</t>
  </si>
  <si>
    <t>5% for each lesson</t>
  </si>
  <si>
    <t xml:space="preserve">In-class Assignment 1 </t>
  </si>
  <si>
    <t>Team</t>
  </si>
  <si>
    <t>Take home Assignment 1</t>
  </si>
  <si>
    <t>In-class Assignment 2</t>
  </si>
  <si>
    <t>Lesson 2</t>
  </si>
  <si>
    <t xml:space="preserve">In-class Online Quiz </t>
  </si>
  <si>
    <t>Lesson 3</t>
  </si>
  <si>
    <t>Take home Assignment 2</t>
  </si>
  <si>
    <t>In-class Assignment 3</t>
  </si>
  <si>
    <t>Lesson 4</t>
  </si>
  <si>
    <t>Team Capstone Project</t>
  </si>
  <si>
    <t>Final Project Presentation</t>
  </si>
  <si>
    <t xml:space="preserve">(a)  All sections below must be completed by filling in the blank spaces. (Recommended to have a good balance between Individal and Team component.) </t>
  </si>
  <si>
    <t>Incomplete notebooks with code to fill, theoretical questions.</t>
  </si>
  <si>
    <t>Quizzes</t>
  </si>
  <si>
    <t>Individual Component</t>
  </si>
  <si>
    <t>Team Component</t>
  </si>
  <si>
    <t>`</t>
  </si>
  <si>
    <t>Total</t>
  </si>
  <si>
    <t>(b)  Section below must be completed (for Credit-Bearing Courses under ModularMaster Certificate and/or Graduate Certificate)</t>
  </si>
  <si>
    <t>Component</t>
  </si>
  <si>
    <t>Weightage</t>
  </si>
  <si>
    <t>1 (Room for Improvement)</t>
  </si>
  <si>
    <t>2 (Below Average)</t>
  </si>
  <si>
    <t>3 (Average)</t>
  </si>
  <si>
    <t>4 (Good)</t>
  </si>
  <si>
    <t>5 (Very Good)</t>
  </si>
  <si>
    <t>Problem and Solution</t>
  </si>
  <si>
    <t>The application is not running, though resources are provisioned (could be manually).</t>
  </si>
  <si>
    <t>Resources provisioned (could be manually) and application is running</t>
  </si>
  <si>
    <t>Resources provisioned with app running and CI pipeline with complete test suite</t>
  </si>
  <si>
    <t>Resources provisioned with Terraform and app running and CI pipeline with complete test suite</t>
  </si>
  <si>
    <t>Resources provisioned with Terraform inside a CD pipeline and app running and CI pipeline with complete test suite</t>
  </si>
  <si>
    <t>Documentation</t>
  </si>
  <si>
    <t>The code is undocumented</t>
  </si>
  <si>
    <t>There are some comments explaining he code, however, provides no extra context to the code readers</t>
  </si>
  <si>
    <t>There are some comments explaining the code that the readers can’t understand</t>
  </si>
  <si>
    <r>
      <t xml:space="preserve">The code is self-documented and easy to understand </t>
    </r>
    <r>
      <rPr>
        <b/>
        <i/>
        <sz val="11"/>
        <color theme="4" tint="-0.499984740745262"/>
        <rFont val="Calibri"/>
        <family val="2"/>
        <scheme val="minor"/>
      </rPr>
      <t xml:space="preserve">or </t>
    </r>
    <r>
      <rPr>
        <i/>
        <sz val="11"/>
        <color theme="4" tint="-0.499984740745262"/>
        <rFont val="Calibri"/>
        <family val="2"/>
        <scheme val="minor"/>
      </rPr>
      <t>there’s external README file that’s really helpful</t>
    </r>
  </si>
  <si>
    <t>The code is written well, easy to understand. The app is documented in a README that someone can set it up and run</t>
  </si>
  <si>
    <t>Presentation and Communication</t>
  </si>
  <si>
    <t>Participant could briefly
present the work and/or unable to
answer questions related to the work</t>
  </si>
  <si>
    <t>Participant presents the
work and is able to answer some questions related to the work</t>
  </si>
  <si>
    <t>Participant presents the work and is able to answer most questions related to work</t>
  </si>
  <si>
    <t>Participant communicates well during presentation and is able to answer most of  the questions related to the work</t>
  </si>
  <si>
    <t>Participants communicates well during presentation and able to answer all the questions related to the work</t>
  </si>
  <si>
    <t>Total (this should tally with Section (a))</t>
  </si>
  <si>
    <t>(c)  Section below must be completed (for Credit-Bearing Courses under ModularMaster Certificate and/or Graduate Certificate)</t>
  </si>
  <si>
    <t>(3) Course Resources</t>
  </si>
  <si>
    <t>Computer Hardware and Software</t>
  </si>
  <si>
    <t>Software/Hardware</t>
  </si>
  <si>
    <t>Requirement/ Sepcifications</t>
  </si>
  <si>
    <t>Est. Cost</t>
  </si>
  <si>
    <t>Proposed Provider</t>
  </si>
  <si>
    <t xml:space="preserve">Please indicate if there is requirement to utilize computer hardware and/or software. Please indicate the specifications of computer hardware and/or software (where applicable) and the proposed provider of the computer hardware and/or software.
</t>
  </si>
  <si>
    <t>Computer</t>
  </si>
  <si>
    <t>Able to run Python 3</t>
  </si>
  <si>
    <t>NA</t>
  </si>
  <si>
    <t>either personal laptop or to be provided by IT/Lab</t>
  </si>
  <si>
    <t>Python 3</t>
  </si>
  <si>
    <t>Numpy, matplotlib, sklearn, scipy, notebook and torch libraries installed.</t>
  </si>
  <si>
    <t>Equipment</t>
  </si>
  <si>
    <t>Please indicate if there is requirement to utilize equipment (for example, 3D printers, laser cutter, measurement equipment, special audio or visual equipment, etc.). Please indicate (where applicable) the specifications of the equipment, the proposed provider of the equipment and the estimated cost.</t>
  </si>
  <si>
    <t>Materials and Consumables</t>
  </si>
  <si>
    <t>Please indicate if there is requirement to utilize materials and consumables (for example, 3D printing materials, wood, electronic components, etc.). Please indicate (where applicable) the specifications of the equipment, the proposed provider of the equipment and the estimated cost.</t>
  </si>
  <si>
    <t>Others</t>
  </si>
  <si>
    <t>Please indicate if there are other requirements. Please indicate (where applicable) the specifications, the proposed provider and the estimated cost.</t>
  </si>
  <si>
    <t>Teaching Assistant or Facilitator</t>
  </si>
  <si>
    <t>Help in Grading purposes and consultation during class.</t>
  </si>
  <si>
    <t>Total Est Cost</t>
  </si>
  <si>
    <t xml:space="preserve">Facilities </t>
  </si>
  <si>
    <t xml:space="preserve">Please indicate if there is special requirement in terms of facility for the conduct of the course. For example Lecture Theatre, Cohort Classroom, etc.
</t>
  </si>
  <si>
    <t>Class Room Seating Arrangement</t>
  </si>
  <si>
    <t>Please indicate if there is preference in the classroom seating arrangement. For example: rows, cluster, U-shaped or other special arrangement.</t>
  </si>
  <si>
    <t>Computer Lab:</t>
  </si>
  <si>
    <t>Use of Lab with Windows/Python 3 installed, could be needed for participants with no personal computer.</t>
  </si>
  <si>
    <t xml:space="preserve">Please indicate if there is requirement for a computer lab or facility with computers.
</t>
  </si>
  <si>
    <t xml:space="preserve"> Fab Lab / Mobile Fab Lab</t>
  </si>
  <si>
    <t xml:space="preserve">Please indicate if there is requirement to utilize the SUTD Fab Lab or Mobile Fab Lab. Do provide details such as exact location of the Fab Lab and the duration (no. of hours) required.
</t>
  </si>
  <si>
    <t>Use of Other Labs</t>
  </si>
  <si>
    <t xml:space="preserve">Please indicate if there is requirement to utilize other lab spaces. Do note of the limit of utilization of 3 sessions of 3 hrs each during the term.
</t>
  </si>
  <si>
    <r>
      <rPr>
        <b/>
        <sz val="14"/>
        <color rgb="FF000000"/>
        <rFont val="Calibri"/>
        <family val="2"/>
        <charset val="1"/>
      </rPr>
      <t xml:space="preserve">(4) Instructors' </t>
    </r>
    <r>
      <rPr>
        <b/>
        <sz val="14"/>
        <color rgb="FF0070C0"/>
        <rFont val="Calibri"/>
        <family val="2"/>
        <charset val="1"/>
      </rPr>
      <t xml:space="preserve"> </t>
    </r>
    <r>
      <rPr>
        <b/>
        <sz val="14"/>
        <color rgb="FF000000"/>
        <rFont val="Calibri"/>
        <family val="2"/>
        <charset val="1"/>
      </rPr>
      <t>Particulars</t>
    </r>
  </si>
  <si>
    <t xml:space="preserve">(a)The fields below has been designed to provide us with the basic information for easy processing of your contract with SUTD Academy </t>
  </si>
  <si>
    <r>
      <rPr>
        <sz val="14"/>
        <color rgb="FF000000"/>
        <rFont val="Calibri"/>
        <family val="2"/>
        <charset val="1"/>
      </rPr>
      <t xml:space="preserve">(c) Complete Section I  </t>
    </r>
    <r>
      <rPr>
        <b/>
        <sz val="20"/>
        <color rgb="FF000000"/>
        <rFont val="Calibri"/>
        <family val="2"/>
        <charset val="1"/>
      </rPr>
      <t>or</t>
    </r>
    <r>
      <rPr>
        <sz val="16"/>
        <color rgb="FF000000"/>
        <rFont val="Calibri"/>
        <family val="2"/>
        <charset val="1"/>
      </rPr>
      <t xml:space="preserve"> </t>
    </r>
    <r>
      <rPr>
        <sz val="14"/>
        <color rgb="FF000000"/>
        <rFont val="Calibri"/>
        <family val="2"/>
        <charset val="1"/>
      </rPr>
      <t xml:space="preserve">Section II. </t>
    </r>
  </si>
  <si>
    <r>
      <rPr>
        <sz val="14"/>
        <color rgb="FF000000"/>
        <rFont val="Calibri"/>
        <family val="2"/>
        <charset val="1"/>
      </rPr>
      <t>(c) Should there be</t>
    </r>
    <r>
      <rPr>
        <b/>
        <sz val="16"/>
        <color rgb="FF385724"/>
        <rFont val="Calibri"/>
        <family val="2"/>
        <charset val="1"/>
      </rPr>
      <t xml:space="preserve"> </t>
    </r>
    <r>
      <rPr>
        <b/>
        <sz val="16"/>
        <color rgb="FF000000"/>
        <rFont val="Calibri"/>
        <family val="2"/>
        <charset val="1"/>
      </rPr>
      <t>more than 1 instructor</t>
    </r>
    <r>
      <rPr>
        <sz val="14"/>
        <color rgb="FF000000"/>
        <rFont val="Calibri"/>
        <family val="2"/>
        <charset val="1"/>
      </rPr>
      <t>, please continue to fill in additional fields below.</t>
    </r>
  </si>
  <si>
    <r>
      <rPr>
        <sz val="28"/>
        <color rgb="FF000000"/>
        <rFont val="Calibri"/>
        <family val="2"/>
        <charset val="1"/>
      </rPr>
      <t xml:space="preserve">INSTRUCTOR </t>
    </r>
    <r>
      <rPr>
        <b/>
        <sz val="28"/>
        <color rgb="FFC00000"/>
        <rFont val="Calibri"/>
        <family val="2"/>
        <charset val="1"/>
      </rPr>
      <t>1</t>
    </r>
    <r>
      <rPr>
        <sz val="28"/>
        <color rgb="FF000000"/>
        <rFont val="Calibri"/>
        <family val="2"/>
        <charset val="1"/>
      </rPr>
      <t xml:space="preserve"> PARTICULARS</t>
    </r>
  </si>
  <si>
    <t>Instructor Name:</t>
  </si>
  <si>
    <t>Matthieu De Mari</t>
  </si>
  <si>
    <t>Current Designations:</t>
  </si>
  <si>
    <t>Contact Number:</t>
  </si>
  <si>
    <t>Email Address:</t>
  </si>
  <si>
    <t>matthieu_demari@sutd.edu.sg</t>
  </si>
  <si>
    <t>Nationality:</t>
  </si>
  <si>
    <t>France</t>
  </si>
  <si>
    <t>Singapore Address:</t>
  </si>
  <si>
    <t>Overseas Address ( for foreigners):</t>
  </si>
  <si>
    <t>INSTRUCTOR 2 PARTICULARS</t>
  </si>
  <si>
    <t>Glossary</t>
  </si>
  <si>
    <t>Descriptor</t>
  </si>
  <si>
    <t xml:space="preserve">Basic Level </t>
  </si>
  <si>
    <t>·         Introductory/ beginner/ 101course
·         For learners who are new to the subject or need some refresher on fundamental content
·         Covers fundamentals/ basic concepts
·         Assumes little/ no prior knowledge</t>
  </si>
  <si>
    <t>Intermediate  Level</t>
  </si>
  <si>
    <t>·         Intermediate / 201 course
·         For learners who have a basic understanding of the topic and looking for more information on more complex topics
·         Covers some complex topics in more detail
·         Assumes some knowledge/ experience required</t>
  </si>
  <si>
    <t>·         Advanced / Experienced / 301 course
·         For learners who already have a good grasp of the intermediate stuff and looking to delve into the complex/ specialised topics Covers complex / specialised topics
·         Assume substantial/ in-depth knowledge experience</t>
  </si>
  <si>
    <t>• Introduction of course, reminders of mathematics (linear algebra, probabilities, machine learning)</t>
  </si>
  <si>
    <t>o Bringing all students up to speed on the mathematical operations that are required for this class. Linking up with the previous Machine Learning course, full implementation in NumPy. Introducing the softmax function and linking up with the linear regression model.</t>
  </si>
  <si>
    <t>o The idea behind  BackProp and its implementation in Numpy for our Shallow Neural Network. The No Free Lunch theorem and the Universal Approximation theorem. The AdaGrad, RMSProp and Adam optimizers, and their implementation in Numpy. The Stochastic Gradient Descent algorithm. Combining concepts into great optimizers.</t>
  </si>
  <si>
    <t>• Breaking linearity and symmetries, other issues with Neural Networks. Good Practices in Deep Learning.</t>
  </si>
  <si>
    <t>o The exploding/vanishing gradient problem. Using activation functions to break linearity. Using initializers to break symmetries. Using additional performance metrics, implementing a saver/loader function for reproducibility, implementing an early stopping.</t>
  </si>
  <si>
    <t>• Adding more features to our PyTorch Shallow Neural Network and using dataloaders.</t>
  </si>
  <si>
    <t>o Loss functions, backpropagation, optimizers, initializers and regularization in PyTorch. Writing custom dataset and dataloader objects for any data science project. Demonstration on MNIST for multi-class classification.</t>
  </si>
  <si>
    <t>• Quiz and Lab Session for implementing Shallow Neural Networks in PyTorch</t>
  </si>
  <si>
    <t>Lab Session</t>
  </si>
  <si>
    <t>Conceptual questions quizzes at the end of lectures.</t>
  </si>
  <si>
    <t>Code validity</t>
  </si>
  <si>
    <t>Answers to conceptual questions</t>
  </si>
  <si>
    <t xml:space="preserve"> The code runs and produces the expected results, but is perfectible in some parts.</t>
  </si>
  <si>
    <t>The code runs in parts, and fails in other parts because it is incomplete.</t>
  </si>
  <si>
    <t xml:space="preserve">The code has many issues and very few use cases run correctly. </t>
  </si>
  <si>
    <t>The code is simply not working and would need a lot of improvement.</t>
  </si>
  <si>
    <t>Additional conceptual questions related to the lab task will be answered by the students. Partial points given for each question correctly answered.</t>
  </si>
  <si>
    <t>Description of Lab</t>
  </si>
  <si>
    <t>Marking Rubrics for Lab (Example)</t>
  </si>
  <si>
    <t>Description of Lab (Example)</t>
  </si>
  <si>
    <t xml:space="preserve">Students are to form a team of 2 to choose a problem statement for their deep learning project. Students are provided with a dataset and machine learning task, and must design and train a deep learning model for the task. 
Provided:
- Jupyter notebook as template for lab submission
- Kaggle website dataset: https://www.kaggle.com/datasets
- Set of conceptual questions related to the lab
Requirements:
- Students must submit a jupyter notebook as their final submission containing both their answers to the conceptual questions and their code.
</t>
  </si>
  <si>
    <t>Participation</t>
  </si>
  <si>
    <t>Attendance to classes and contributions in class</t>
  </si>
  <si>
    <t>Days 1 and 2</t>
  </si>
  <si>
    <t>The code is well-written, easy to understand. The code runs and produces the expected results.</t>
  </si>
  <si>
    <t>Senior Lecturer, ISTD/CSD, SUTD</t>
  </si>
  <si>
    <t>• The backpropagation algorithm and advanced optimizers</t>
  </si>
  <si>
    <t>By the end of this course, participants should be able to / can expect to: 
• apply the TDIOML (task, dataset, input, output, model, loss) framework to define a typical Machine Learning problem.
• implement neural networks using the PyTorch framework, to simplify the development of said models.
• understand and implement the forward and backward propagation mechanisms that are used to evaluate and train neural networks.
• tune neural networks by implementing advanced initializers, optimizers, loss functions and regularization.
• understand the concepts of generalization, over- and underfitting, exploding and vanishing gradients.
• implement good professional practices for training and evaluating deep learning models, such as train/test/validation sets, saver/loader functions, etc.</t>
  </si>
  <si>
    <r>
      <t>Working professionals who are familiar with Python programming, computing or software engineering. This course is suitable for professiona</t>
    </r>
    <r>
      <rPr>
        <sz val="12"/>
        <rFont val="Calibri"/>
        <family val="2"/>
      </rPr>
      <t>ls</t>
    </r>
    <r>
      <rPr>
        <sz val="12"/>
        <color rgb="FF000000"/>
        <rFont val="Calibri"/>
        <family val="2"/>
      </rPr>
      <t xml:space="preserve"> with a small technical background who plan to enter </t>
    </r>
    <r>
      <rPr>
        <sz val="12"/>
        <rFont val="Calibri"/>
        <family val="2"/>
      </rPr>
      <t>the</t>
    </r>
    <r>
      <rPr>
        <sz val="12"/>
        <color rgb="FF000000"/>
        <rFont val="Calibri"/>
        <family val="2"/>
      </rPr>
      <t xml:space="preserve"> data science or artificial intelligence field. </t>
    </r>
  </si>
  <si>
    <t>Participants should possess a basic understanding of the Python programming language and ideally should have gone through a Machine Learning course. If students already have a background in data science/machine learning, this requirement can be lifted.</t>
  </si>
  <si>
    <r>
      <rPr>
        <sz val="12"/>
        <color rgb="FF000000"/>
        <rFont val="Calibri"/>
        <family val="2"/>
        <charset val="1"/>
      </rPr>
      <t xml:space="preserve"> </t>
    </r>
    <r>
      <rPr>
        <sz val="12"/>
        <color rgb="FF000000"/>
        <rFont val="Calibri"/>
        <family val="2"/>
      </rPr>
      <t>Practice</t>
    </r>
    <r>
      <rPr>
        <sz val="12"/>
        <color rgb="FF000000"/>
        <rFont val="Calibri"/>
        <family val="2"/>
        <charset val="1"/>
      </rPr>
      <t xml:space="preserve"> of Deep Learning</t>
    </r>
  </si>
  <si>
    <t xml:space="preserve">This course serves as an introduction to deep learning and introduces the PyTorch framework to students, which is the most used Python framework for prototyping Neural Networks and Deep Learning models. During this course, the students will study the implementation of a shallow neural network, and discuss typical issues and good practices related to training such models. By the end of the course, the students will be able to implement and train a simple neural network using a simple tabular dataset. This course assumes that students have a programming background in Python, along with a basic knowledge of linear algebra, optimization and machine learning.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</si>
</sst>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mm/dd/yyyy"/>
    <numFmt numFmtId="165" formatCode="\$#,##0.00_);[Red]&quot;($&quot;#,##0.00\)"/>
    <numFmt numFmtId="166" formatCode="_-\$* #,##0.00_-;&quot;-$&quot;* #,##0.00_-;_-\$* \-??_-;_-@_-"/>
    <numFmt numFmtId="167" formatCode="_(* #,##0.00_);_(* \(#,##0.00\);_(* &quot;-&quot;??_);_(@_)"/>
  </numFmts>
  <fonts count="52" x14ac:knownFonts="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000000"/>
      <name val="Calibri"/>
      <family val="2"/>
      <charset val="1"/>
    </font>
    <font>
      <sz val="14"/>
      <color rgb="FF000000"/>
      <name val="Calibri"/>
      <family val="2"/>
      <charset val="1"/>
    </font>
    <font>
      <b/>
      <sz val="14"/>
      <color rgb="FFC00000"/>
      <name val="Calibri"/>
      <family val="2"/>
      <charset val="1"/>
    </font>
    <font>
      <b/>
      <sz val="18"/>
      <color rgb="FFC00000"/>
      <name val="Calibri"/>
      <family val="2"/>
      <charset val="1"/>
    </font>
    <font>
      <b/>
      <sz val="12"/>
      <color rgb="FF000000"/>
      <name val="Calibri"/>
      <family val="2"/>
      <charset val="1"/>
    </font>
    <font>
      <sz val="12"/>
      <color rgb="FF000000"/>
      <name val="Calibri"/>
      <family val="2"/>
      <charset val="1"/>
    </font>
    <font>
      <i/>
      <sz val="10"/>
      <color rgb="FF002060"/>
      <name val="Calibri"/>
      <family val="2"/>
      <charset val="1"/>
    </font>
    <font>
      <i/>
      <sz val="10"/>
      <color rgb="FF000000"/>
      <name val="Calibri"/>
      <family val="2"/>
      <charset val="1"/>
    </font>
    <font>
      <i/>
      <sz val="10"/>
      <color rgb="FF203864"/>
      <name val="Calibri"/>
      <family val="2"/>
      <charset val="1"/>
    </font>
    <font>
      <i/>
      <sz val="10"/>
      <color rgb="FFC00000"/>
      <name val="Calibri"/>
      <family val="2"/>
      <charset val="1"/>
    </font>
    <font>
      <i/>
      <sz val="10"/>
      <color rgb="FF595959"/>
      <name val="Calibri"/>
      <family val="2"/>
      <charset val="1"/>
    </font>
    <font>
      <b/>
      <sz val="20"/>
      <color rgb="FFFF0000"/>
      <name val="Calibri"/>
      <family val="2"/>
      <charset val="1"/>
    </font>
    <font>
      <b/>
      <sz val="12"/>
      <name val="Calibri"/>
      <family val="2"/>
      <charset val="1"/>
    </font>
    <font>
      <b/>
      <sz val="18"/>
      <color rgb="FFFF0000"/>
      <name val="Calibri"/>
      <family val="2"/>
      <charset val="1"/>
    </font>
    <font>
      <b/>
      <sz val="11"/>
      <color rgb="FF000000"/>
      <name val="Calibri"/>
      <family val="2"/>
      <charset val="1"/>
    </font>
    <font>
      <sz val="11"/>
      <name val="Calibri"/>
      <family val="2"/>
      <charset val="1"/>
    </font>
    <font>
      <sz val="12"/>
      <name val="Calibri"/>
      <family val="2"/>
      <charset val="1"/>
    </font>
    <font>
      <b/>
      <sz val="12"/>
      <color rgb="FF002060"/>
      <name val="Calibri"/>
      <family val="2"/>
      <charset val="1"/>
    </font>
    <font>
      <b/>
      <sz val="12"/>
      <color rgb="FF203864"/>
      <name val="Calibri"/>
      <family val="2"/>
      <charset val="1"/>
    </font>
    <font>
      <sz val="11"/>
      <color rgb="FFFF0000"/>
      <name val="Calibri"/>
      <family val="2"/>
      <charset val="1"/>
    </font>
    <font>
      <b/>
      <sz val="14"/>
      <color rgb="FF0070C0"/>
      <name val="Calibri"/>
      <family val="2"/>
      <charset val="1"/>
    </font>
    <font>
      <b/>
      <sz val="20"/>
      <color rgb="FF000000"/>
      <name val="Calibri"/>
      <family val="2"/>
      <charset val="1"/>
    </font>
    <font>
      <sz val="16"/>
      <color rgb="FF000000"/>
      <name val="Calibri"/>
      <family val="2"/>
      <charset val="1"/>
    </font>
    <font>
      <b/>
      <sz val="16"/>
      <color rgb="FF385724"/>
      <name val="Calibri"/>
      <family val="2"/>
      <charset val="1"/>
    </font>
    <font>
      <b/>
      <sz val="16"/>
      <color rgb="FF000000"/>
      <name val="Calibri"/>
      <family val="2"/>
      <charset val="1"/>
    </font>
    <font>
      <sz val="28"/>
      <color rgb="FF000000"/>
      <name val="Calibri"/>
      <family val="2"/>
      <charset val="1"/>
    </font>
    <font>
      <b/>
      <sz val="28"/>
      <color rgb="FFC00000"/>
      <name val="Calibri"/>
      <family val="2"/>
      <charset val="1"/>
    </font>
    <font>
      <u/>
      <sz val="11"/>
      <color rgb="FF0563C1"/>
      <name val="Calibri"/>
      <family val="2"/>
      <charset val="1"/>
    </font>
    <font>
      <sz val="11"/>
      <color rgb="FF000000"/>
      <name val="Calibri"/>
      <family val="2"/>
      <charset val="1"/>
    </font>
    <font>
      <sz val="12"/>
      <color rgb="FF000000"/>
      <name val="Calibri"/>
      <family val="2"/>
    </font>
    <font>
      <b/>
      <sz val="11"/>
      <color theme="8" tint="-0.499984740745262"/>
      <name val="Calibri"/>
      <family val="2"/>
    </font>
    <font>
      <b/>
      <sz val="11"/>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i/>
      <sz val="11"/>
      <color theme="4" tint="-0.499984740745262"/>
      <name val="Calibri"/>
      <family val="2"/>
      <scheme val="minor"/>
    </font>
    <font>
      <b/>
      <sz val="11"/>
      <color theme="4" tint="-0.499984740745262"/>
      <name val="Calibri"/>
      <family val="2"/>
      <scheme val="minor"/>
    </font>
    <font>
      <sz val="11"/>
      <color theme="4" tint="-0.499984740745262"/>
      <name val="Calibri"/>
      <family val="2"/>
      <scheme val="minor"/>
    </font>
    <font>
      <sz val="14"/>
      <color theme="1"/>
      <name val="Calibri"/>
      <family val="2"/>
      <scheme val="minor"/>
    </font>
    <font>
      <b/>
      <sz val="12"/>
      <color theme="8" tint="-0.499984740745262"/>
      <name val="Calibri"/>
      <family val="2"/>
      <scheme val="minor"/>
    </font>
    <font>
      <sz val="11"/>
      <name val="Calibri"/>
      <family val="2"/>
      <scheme val="minor"/>
    </font>
    <font>
      <sz val="12"/>
      <name val="Calibri"/>
      <family val="2"/>
    </font>
    <font>
      <b/>
      <i/>
      <sz val="11"/>
      <color theme="4" tint="-0.499984740745262"/>
      <name val="Calibri"/>
      <family val="2"/>
      <scheme val="minor"/>
    </font>
    <font>
      <sz val="14"/>
      <color rgb="FF7030A0"/>
      <name val="Calibri"/>
      <family val="2"/>
      <scheme val="minor"/>
    </font>
    <font>
      <b/>
      <sz val="11"/>
      <name val="Calibri"/>
      <family val="2"/>
      <scheme val="minor"/>
    </font>
  </fonts>
  <fills count="24">
    <fill>
      <patternFill patternType="none"/>
    </fill>
    <fill>
      <patternFill patternType="gray125"/>
    </fill>
    <fill>
      <patternFill patternType="solid">
        <fgColor rgb="FFFFCCFF"/>
        <bgColor rgb="FFD9D9D9"/>
      </patternFill>
    </fill>
    <fill>
      <patternFill patternType="solid">
        <fgColor rgb="FFC5E0B4"/>
        <bgColor rgb="FFD9D9D9"/>
      </patternFill>
    </fill>
    <fill>
      <patternFill patternType="solid">
        <fgColor rgb="FFDAE3F3"/>
        <bgColor rgb="FFDEEBF7"/>
      </patternFill>
    </fill>
    <fill>
      <patternFill patternType="solid">
        <fgColor rgb="FFA9D18E"/>
        <bgColor rgb="FFC5E0B4"/>
      </patternFill>
    </fill>
    <fill>
      <patternFill patternType="solid">
        <fgColor rgb="FFFFFFFF"/>
        <bgColor rgb="FFFFF2CC"/>
      </patternFill>
    </fill>
    <fill>
      <patternFill patternType="solid">
        <fgColor rgb="FFD9D9D9"/>
        <bgColor rgb="FFDAE3F3"/>
      </patternFill>
    </fill>
    <fill>
      <patternFill patternType="solid">
        <fgColor rgb="FFFFF2CC"/>
        <bgColor rgb="FFFFE699"/>
      </patternFill>
    </fill>
    <fill>
      <patternFill patternType="solid">
        <fgColor rgb="FFDEEBF7"/>
        <bgColor rgb="FFDAE3F3"/>
      </patternFill>
    </fill>
    <fill>
      <patternFill patternType="solid">
        <fgColor rgb="FFFFE699"/>
        <bgColor rgb="FFFFFF99"/>
      </patternFill>
    </fill>
    <fill>
      <patternFill patternType="solid">
        <fgColor theme="9" tint="0.79998168889431442"/>
        <bgColor rgb="FFD9D9D9"/>
      </patternFill>
    </fill>
    <fill>
      <patternFill patternType="solid">
        <fgColor theme="2" tint="-9.9978637043366805E-2"/>
        <bgColor rgb="FFD9D9D9"/>
      </patternFill>
    </fill>
    <fill>
      <patternFill patternType="solid">
        <fgColor theme="9" tint="0.79998168889431442"/>
        <bgColor indexed="64"/>
      </patternFill>
    </fill>
    <fill>
      <patternFill patternType="solid">
        <fgColor theme="9" tint="0.79998168889431442"/>
        <bgColor rgb="FF9999FF"/>
      </patternFill>
    </fill>
    <fill>
      <patternFill patternType="solid">
        <fgColor theme="2" tint="-9.9978637043366805E-2"/>
        <bgColor indexed="64"/>
      </patternFill>
    </fill>
    <fill>
      <patternFill patternType="solid">
        <fgColor theme="9" tint="0.59999389629810485"/>
        <bgColor rgb="FFD9D9D9"/>
      </patternFill>
    </fill>
    <fill>
      <patternFill patternType="solid">
        <fgColor theme="9" tint="0.59999389629810485"/>
        <bgColor indexed="64"/>
      </patternFill>
    </fill>
    <fill>
      <patternFill patternType="solid">
        <fgColor theme="9" tint="0.59999389629810485"/>
        <bgColor rgb="FF9999FF"/>
      </patternFill>
    </fill>
    <fill>
      <patternFill patternType="solid">
        <fgColor rgb="FFFFCCFF"/>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7"/>
        <bgColor indexed="64"/>
      </patternFill>
    </fill>
  </fills>
  <borders count="5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medium">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top style="medium">
        <color auto="1"/>
      </top>
      <bottom style="medium">
        <color auto="1"/>
      </bottom>
      <diagonal/>
    </border>
    <border>
      <left style="medium">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s>
  <cellStyleXfs count="9">
    <xf numFmtId="0" fontId="0" fillId="0" borderId="0"/>
    <xf numFmtId="166" fontId="35" fillId="0" borderId="0" applyBorder="0" applyProtection="0"/>
    <xf numFmtId="0" fontId="34" fillId="0" borderId="0" applyBorder="0" applyProtection="0"/>
    <xf numFmtId="0" fontId="6" fillId="0" borderId="0"/>
    <xf numFmtId="9" fontId="6"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cellStyleXfs>
  <cellXfs count="285">
    <xf numFmtId="0" fontId="0" fillId="0" borderId="0" xfId="0"/>
    <xf numFmtId="0" fontId="0" fillId="0" borderId="0" xfId="0" applyAlignment="1">
      <alignment horizontal="center"/>
    </xf>
    <xf numFmtId="0" fontId="8" fillId="0" borderId="0" xfId="0" applyFont="1" applyAlignment="1">
      <alignment vertical="center"/>
    </xf>
    <xf numFmtId="0" fontId="8" fillId="0" borderId="3" xfId="0" applyFont="1" applyBorder="1" applyAlignment="1">
      <alignment vertical="center"/>
    </xf>
    <xf numFmtId="0" fontId="7" fillId="0" borderId="0" xfId="0" applyFont="1" applyAlignment="1">
      <alignment vertical="center"/>
    </xf>
    <xf numFmtId="0" fontId="8" fillId="4" borderId="4" xfId="0" applyFont="1" applyFill="1" applyBorder="1" applyAlignment="1">
      <alignment vertical="center"/>
    </xf>
    <xf numFmtId="0" fontId="8" fillId="4" borderId="5" xfId="0" applyFont="1" applyFill="1" applyBorder="1" applyAlignment="1">
      <alignment vertical="center"/>
    </xf>
    <xf numFmtId="0" fontId="8" fillId="4" borderId="6" xfId="0" applyFont="1" applyFill="1" applyBorder="1" applyAlignment="1">
      <alignment vertical="center"/>
    </xf>
    <xf numFmtId="0" fontId="11" fillId="5" borderId="7" xfId="0" applyFont="1" applyFill="1" applyBorder="1" applyAlignment="1">
      <alignment horizontal="left"/>
    </xf>
    <xf numFmtId="0" fontId="12" fillId="0" borderId="8" xfId="0" applyFont="1" applyBorder="1" applyAlignment="1">
      <alignment horizontal="left" vertical="top"/>
    </xf>
    <xf numFmtId="0" fontId="0" fillId="0" borderId="2" xfId="0" applyBorder="1"/>
    <xf numFmtId="0" fontId="14" fillId="6" borderId="11" xfId="0" applyFont="1" applyFill="1" applyBorder="1" applyAlignment="1">
      <alignment horizontal="left" wrapText="1"/>
    </xf>
    <xf numFmtId="0" fontId="11" fillId="5" borderId="13" xfId="0" applyFont="1" applyFill="1" applyBorder="1" applyAlignment="1">
      <alignment horizontal="left"/>
    </xf>
    <xf numFmtId="0" fontId="15" fillId="0" borderId="15" xfId="0" applyFont="1" applyBorder="1" applyAlignment="1">
      <alignment vertical="top" wrapText="1"/>
    </xf>
    <xf numFmtId="0" fontId="15" fillId="0" borderId="16" xfId="0" applyFont="1" applyBorder="1" applyAlignment="1">
      <alignment vertical="top"/>
    </xf>
    <xf numFmtId="0" fontId="14" fillId="0" borderId="18" xfId="0" applyFont="1" applyBorder="1" applyAlignment="1">
      <alignment horizontal="left" vertical="top" wrapText="1"/>
    </xf>
    <xf numFmtId="0" fontId="12" fillId="0" borderId="19" xfId="0" applyFont="1" applyBorder="1" applyAlignment="1">
      <alignment vertical="top" wrapText="1"/>
    </xf>
    <xf numFmtId="0" fontId="14" fillId="0" borderId="11" xfId="0" applyFont="1" applyBorder="1" applyAlignment="1">
      <alignment horizontal="left" vertical="top" wrapText="1"/>
    </xf>
    <xf numFmtId="0" fontId="12" fillId="0" borderId="12" xfId="0" applyFont="1" applyBorder="1" applyAlignment="1">
      <alignment vertical="top" wrapText="1"/>
    </xf>
    <xf numFmtId="0" fontId="0" fillId="0" borderId="0" xfId="0" applyAlignment="1">
      <alignment horizontal="center" vertical="center"/>
    </xf>
    <xf numFmtId="0" fontId="0" fillId="3" borderId="27" xfId="0" applyFill="1" applyBorder="1" applyAlignment="1">
      <alignment horizontal="center" vertical="center" wrapText="1"/>
    </xf>
    <xf numFmtId="0" fontId="22" fillId="3" borderId="27" xfId="0" applyFont="1" applyFill="1" applyBorder="1" applyAlignment="1">
      <alignment horizontal="center" vertical="center" wrapText="1"/>
    </xf>
    <xf numFmtId="0" fontId="0" fillId="3" borderId="28" xfId="0" applyFill="1" applyBorder="1" applyAlignment="1">
      <alignment horizontal="left" indent="2"/>
    </xf>
    <xf numFmtId="0" fontId="0" fillId="3" borderId="29" xfId="0" applyFill="1" applyBorder="1" applyAlignment="1">
      <alignment horizontal="center" vertical="center" wrapText="1"/>
    </xf>
    <xf numFmtId="0" fontId="22" fillId="3" borderId="29" xfId="0" applyFont="1" applyFill="1" applyBorder="1" applyAlignment="1">
      <alignment horizontal="center" vertical="center" wrapText="1"/>
    </xf>
    <xf numFmtId="0" fontId="21" fillId="3" borderId="30" xfId="0" applyFont="1" applyFill="1" applyBorder="1" applyAlignment="1">
      <alignment vertical="top" wrapText="1"/>
    </xf>
    <xf numFmtId="0" fontId="12" fillId="0" borderId="0" xfId="0" applyFont="1"/>
    <xf numFmtId="0" fontId="12" fillId="0" borderId="0" xfId="0" applyFont="1" applyAlignment="1">
      <alignment horizontal="center" vertical="center"/>
    </xf>
    <xf numFmtId="165" fontId="0" fillId="0" borderId="0" xfId="0" applyNumberFormat="1"/>
    <xf numFmtId="0" fontId="11" fillId="2" borderId="1" xfId="0" applyFont="1" applyFill="1" applyBorder="1" applyAlignment="1">
      <alignment horizontal="center" vertical="center"/>
    </xf>
    <xf numFmtId="166" fontId="35" fillId="0" borderId="0" xfId="1" applyBorder="1" applyProtection="1"/>
    <xf numFmtId="0" fontId="11" fillId="5" borderId="26" xfId="0" applyFont="1" applyFill="1" applyBorder="1" applyAlignment="1">
      <alignment horizontal="center"/>
    </xf>
    <xf numFmtId="166" fontId="11" fillId="4" borderId="27" xfId="1" applyFont="1" applyFill="1" applyBorder="1" applyAlignment="1" applyProtection="1">
      <alignment horizontal="center" vertical="top"/>
    </xf>
    <xf numFmtId="166" fontId="12" fillId="0" borderId="29" xfId="1" applyFont="1" applyBorder="1" applyAlignment="1" applyProtection="1">
      <alignment horizontal="center" vertical="top"/>
    </xf>
    <xf numFmtId="166" fontId="12" fillId="0" borderId="12" xfId="1" applyFont="1" applyBorder="1" applyAlignment="1" applyProtection="1">
      <alignment horizontal="center" vertical="top"/>
    </xf>
    <xf numFmtId="166" fontId="11" fillId="4" borderId="37" xfId="1" applyFont="1" applyFill="1" applyBorder="1" applyAlignment="1" applyProtection="1">
      <alignment horizontal="center" vertical="top"/>
    </xf>
    <xf numFmtId="0" fontId="11" fillId="5" borderId="9" xfId="0" applyFont="1" applyFill="1" applyBorder="1" applyAlignment="1">
      <alignment horizontal="center"/>
    </xf>
    <xf numFmtId="166" fontId="12" fillId="0" borderId="29" xfId="1" applyFont="1" applyBorder="1" applyAlignment="1" applyProtection="1">
      <alignment horizontal="center" vertical="center"/>
    </xf>
    <xf numFmtId="0" fontId="11" fillId="8" borderId="9" xfId="0" applyFont="1" applyFill="1" applyBorder="1" applyAlignment="1">
      <alignment horizontal="center"/>
    </xf>
    <xf numFmtId="166" fontId="12" fillId="0" borderId="0" xfId="1" applyFont="1" applyBorder="1" applyAlignment="1" applyProtection="1">
      <alignment horizontal="center" vertical="top"/>
    </xf>
    <xf numFmtId="0" fontId="12" fillId="5" borderId="9" xfId="0" applyFont="1" applyFill="1" applyBorder="1" applyAlignment="1">
      <alignment horizontal="center"/>
    </xf>
    <xf numFmtId="0" fontId="12" fillId="0" borderId="0" xfId="0" applyFont="1" applyAlignment="1">
      <alignment vertical="top"/>
    </xf>
    <xf numFmtId="0" fontId="12" fillId="5" borderId="28" xfId="0" applyFont="1" applyFill="1" applyBorder="1" applyAlignment="1">
      <alignment horizontal="center"/>
    </xf>
    <xf numFmtId="0" fontId="0" fillId="5" borderId="28" xfId="0" applyFill="1" applyBorder="1" applyAlignment="1">
      <alignment horizontal="center"/>
    </xf>
    <xf numFmtId="0" fontId="0" fillId="7" borderId="39" xfId="0" applyFill="1" applyBorder="1" applyAlignment="1">
      <alignment horizontal="center"/>
    </xf>
    <xf numFmtId="0" fontId="0" fillId="5" borderId="11" xfId="0" applyFill="1" applyBorder="1"/>
    <xf numFmtId="0" fontId="11" fillId="5" borderId="17" xfId="0" applyFont="1" applyFill="1" applyBorder="1" applyAlignment="1">
      <alignment horizont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5" xfId="0" applyBorder="1" applyAlignment="1">
      <alignment horizontal="left" vertical="top"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6" xfId="0" applyBorder="1" applyAlignment="1">
      <alignment horizontal="left" vertical="top" wrapText="1"/>
    </xf>
    <xf numFmtId="0" fontId="36" fillId="0" borderId="14" xfId="0" applyFont="1" applyBorder="1" applyAlignment="1">
      <alignment horizontal="left" vertical="top"/>
    </xf>
    <xf numFmtId="0" fontId="21" fillId="11" borderId="26" xfId="0" applyFont="1" applyFill="1" applyBorder="1"/>
    <xf numFmtId="0" fontId="21" fillId="11" borderId="18" xfId="0" applyFont="1" applyFill="1" applyBorder="1" applyAlignment="1">
      <alignment horizontal="left"/>
    </xf>
    <xf numFmtId="0" fontId="0" fillId="11" borderId="18" xfId="0" applyFill="1" applyBorder="1" applyAlignment="1">
      <alignment horizontal="left" indent="2"/>
    </xf>
    <xf numFmtId="0" fontId="0" fillId="11" borderId="37" xfId="0" applyFill="1" applyBorder="1" applyAlignment="1">
      <alignment horizontal="center" vertical="center" wrapText="1"/>
    </xf>
    <xf numFmtId="0" fontId="22" fillId="11" borderId="37" xfId="0" applyFont="1" applyFill="1" applyBorder="1" applyAlignment="1">
      <alignment horizontal="center" vertical="center" wrapText="1"/>
    </xf>
    <xf numFmtId="0" fontId="23" fillId="14" borderId="15" xfId="0" applyFont="1" applyFill="1" applyBorder="1" applyAlignment="1" applyProtection="1">
      <alignment horizontal="center" vertical="center" wrapText="1"/>
      <protection locked="0"/>
    </xf>
    <xf numFmtId="0" fontId="0" fillId="11" borderId="29" xfId="0" applyFill="1" applyBorder="1" applyAlignment="1">
      <alignment horizontal="center" vertical="center" wrapText="1"/>
    </xf>
    <xf numFmtId="0" fontId="22" fillId="11" borderId="29" xfId="0" applyFont="1" applyFill="1" applyBorder="1" applyAlignment="1">
      <alignment horizontal="center" vertical="center" wrapText="1"/>
    </xf>
    <xf numFmtId="0" fontId="23" fillId="14" borderId="35" xfId="0" applyFont="1" applyFill="1" applyBorder="1" applyAlignment="1" applyProtection="1">
      <alignment horizontal="center" vertical="center" wrapText="1"/>
      <protection locked="0"/>
    </xf>
    <xf numFmtId="0" fontId="0" fillId="11" borderId="27" xfId="0" applyFill="1" applyBorder="1" applyAlignment="1">
      <alignment horizontal="center" vertical="center" wrapText="1"/>
    </xf>
    <xf numFmtId="0" fontId="22" fillId="11" borderId="27" xfId="0" applyFont="1" applyFill="1" applyBorder="1" applyAlignment="1">
      <alignment horizontal="center" vertical="center" wrapText="1"/>
    </xf>
    <xf numFmtId="0" fontId="21" fillId="11" borderId="18" xfId="0" applyFont="1" applyFill="1" applyBorder="1" applyAlignment="1">
      <alignment wrapText="1"/>
    </xf>
    <xf numFmtId="0" fontId="0" fillId="11" borderId="12" xfId="0" applyFill="1" applyBorder="1" applyAlignment="1">
      <alignment horizontal="center" vertical="center" wrapText="1"/>
    </xf>
    <xf numFmtId="0" fontId="22" fillId="11" borderId="12" xfId="0" applyFont="1" applyFill="1" applyBorder="1" applyAlignment="1">
      <alignment horizontal="center" vertical="center" wrapText="1"/>
    </xf>
    <xf numFmtId="0" fontId="23" fillId="14" borderId="36" xfId="0" applyFont="1" applyFill="1" applyBorder="1" applyAlignment="1" applyProtection="1">
      <alignment horizontal="center" vertical="center" wrapText="1"/>
      <protection locked="0"/>
    </xf>
    <xf numFmtId="0" fontId="37" fillId="12" borderId="18" xfId="0" applyFont="1" applyFill="1" applyBorder="1" applyAlignment="1">
      <alignment horizontal="center"/>
    </xf>
    <xf numFmtId="0" fontId="23" fillId="18" borderId="15" xfId="0" applyFont="1" applyFill="1" applyBorder="1" applyAlignment="1" applyProtection="1">
      <alignment horizontal="center" vertical="center" wrapText="1"/>
      <protection locked="0"/>
    </xf>
    <xf numFmtId="0" fontId="23" fillId="18" borderId="35" xfId="0" applyFont="1" applyFill="1" applyBorder="1" applyAlignment="1" applyProtection="1">
      <alignment horizontal="center" vertical="center" wrapText="1"/>
      <protection locked="0"/>
    </xf>
    <xf numFmtId="0" fontId="0" fillId="16" borderId="29" xfId="0" applyFill="1" applyBorder="1" applyAlignment="1">
      <alignment horizontal="center" vertical="center" wrapText="1"/>
    </xf>
    <xf numFmtId="0" fontId="22" fillId="16" borderId="29" xfId="0" applyFont="1" applyFill="1" applyBorder="1" applyAlignment="1">
      <alignment horizontal="center" vertical="center" wrapText="1"/>
    </xf>
    <xf numFmtId="0" fontId="0" fillId="16" borderId="12" xfId="0" applyFill="1" applyBorder="1" applyAlignment="1">
      <alignment horizontal="center" vertical="center" wrapText="1"/>
    </xf>
    <xf numFmtId="0" fontId="22" fillId="16" borderId="12" xfId="0" applyFont="1" applyFill="1" applyBorder="1" applyAlignment="1">
      <alignment horizontal="center" vertical="center" wrapText="1"/>
    </xf>
    <xf numFmtId="0" fontId="23" fillId="18" borderId="36" xfId="0" applyFont="1" applyFill="1" applyBorder="1" applyAlignment="1" applyProtection="1">
      <alignment horizontal="center" vertical="center" wrapText="1"/>
      <protection locked="0"/>
    </xf>
    <xf numFmtId="0" fontId="37" fillId="12" borderId="28" xfId="0" applyFont="1" applyFill="1" applyBorder="1" applyAlignment="1">
      <alignment horizontal="center"/>
    </xf>
    <xf numFmtId="0" fontId="24" fillId="8" borderId="24" xfId="0" applyFont="1" applyFill="1" applyBorder="1" applyAlignment="1">
      <alignment horizontal="center" vertical="center"/>
    </xf>
    <xf numFmtId="0" fontId="11" fillId="8" borderId="25" xfId="0" applyFont="1" applyFill="1" applyBorder="1" applyAlignment="1">
      <alignment horizontal="center" vertical="center"/>
    </xf>
    <xf numFmtId="0" fontId="11" fillId="8" borderId="1" xfId="0" applyFont="1" applyFill="1" applyBorder="1" applyAlignment="1">
      <alignment horizontal="center" vertical="center"/>
    </xf>
    <xf numFmtId="0" fontId="0" fillId="14" borderId="37" xfId="0" applyFill="1" applyBorder="1" applyAlignment="1">
      <alignment horizontal="center" vertical="center" wrapText="1"/>
    </xf>
    <xf numFmtId="0" fontId="22" fillId="14" borderId="37" xfId="0" applyFont="1" applyFill="1" applyBorder="1" applyAlignment="1">
      <alignment horizontal="center" vertical="center" wrapText="1"/>
    </xf>
    <xf numFmtId="0" fontId="0" fillId="3" borderId="12" xfId="0" applyFill="1" applyBorder="1" applyAlignment="1">
      <alignment horizontal="center" vertical="center" wrapText="1"/>
    </xf>
    <xf numFmtId="0" fontId="22" fillId="3" borderId="12" xfId="0" applyFont="1" applyFill="1" applyBorder="1" applyAlignment="1">
      <alignment horizontal="center" vertical="center" wrapText="1"/>
    </xf>
    <xf numFmtId="0" fontId="0" fillId="16" borderId="37" xfId="0" applyFill="1" applyBorder="1" applyAlignment="1">
      <alignment horizontal="center" vertical="center" wrapText="1"/>
    </xf>
    <xf numFmtId="0" fontId="22" fillId="16" borderId="37" xfId="0" applyFont="1" applyFill="1" applyBorder="1" applyAlignment="1">
      <alignment horizontal="center" vertical="center" wrapText="1"/>
    </xf>
    <xf numFmtId="0" fontId="23" fillId="18" borderId="34" xfId="0" applyFont="1" applyFill="1" applyBorder="1" applyAlignment="1" applyProtection="1">
      <alignment horizontal="center" vertical="center" wrapText="1"/>
      <protection locked="0"/>
    </xf>
    <xf numFmtId="0" fontId="6" fillId="0" borderId="0" xfId="3"/>
    <xf numFmtId="0" fontId="39" fillId="0" borderId="43" xfId="3" applyFont="1" applyBorder="1" applyAlignment="1">
      <alignment horizontal="center" vertical="center"/>
    </xf>
    <xf numFmtId="0" fontId="39" fillId="0" borderId="44" xfId="3" applyFont="1" applyBorder="1" applyAlignment="1">
      <alignment horizontal="center" vertical="center"/>
    </xf>
    <xf numFmtId="0" fontId="39" fillId="0" borderId="37" xfId="3" applyFont="1" applyBorder="1" applyAlignment="1">
      <alignment horizontal="center" vertical="center"/>
    </xf>
    <xf numFmtId="0" fontId="39" fillId="0" borderId="37" xfId="3" applyFont="1" applyBorder="1" applyAlignment="1">
      <alignment horizontal="center" vertical="center" wrapText="1"/>
    </xf>
    <xf numFmtId="0" fontId="39" fillId="0" borderId="15" xfId="3" applyFont="1" applyBorder="1" applyAlignment="1">
      <alignment horizontal="center" vertical="center" wrapText="1"/>
    </xf>
    <xf numFmtId="0" fontId="40" fillId="0" borderId="40" xfId="3" applyFont="1" applyBorder="1" applyAlignment="1">
      <alignment horizontal="center" vertical="center" wrapText="1"/>
    </xf>
    <xf numFmtId="0" fontId="40" fillId="0" borderId="0" xfId="3" applyFont="1" applyAlignment="1">
      <alignment horizontal="center" vertical="center" wrapText="1"/>
    </xf>
    <xf numFmtId="0" fontId="39" fillId="0" borderId="14" xfId="3" applyFont="1" applyBorder="1" applyAlignment="1">
      <alignment horizontal="center" vertical="center"/>
    </xf>
    <xf numFmtId="0" fontId="41" fillId="0" borderId="31" xfId="3" applyFont="1" applyBorder="1" applyAlignment="1">
      <alignment horizontal="center" vertical="center" wrapText="1"/>
    </xf>
    <xf numFmtId="0" fontId="40" fillId="0" borderId="31" xfId="3" applyFont="1" applyBorder="1" applyAlignment="1">
      <alignment horizontal="center" vertical="center" wrapText="1"/>
    </xf>
    <xf numFmtId="0" fontId="40" fillId="0" borderId="45" xfId="3" applyFont="1" applyBorder="1" applyAlignment="1">
      <alignment horizontal="center" vertical="center" wrapText="1"/>
    </xf>
    <xf numFmtId="0" fontId="42" fillId="0" borderId="9" xfId="3" applyFont="1" applyBorder="1"/>
    <xf numFmtId="0" fontId="42" fillId="0" borderId="46" xfId="3" applyFont="1" applyBorder="1"/>
    <xf numFmtId="0" fontId="43" fillId="0" borderId="37" xfId="3" applyFont="1" applyBorder="1" applyAlignment="1">
      <alignment vertical="center"/>
    </xf>
    <xf numFmtId="0" fontId="44" fillId="0" borderId="15" xfId="3" applyFont="1" applyBorder="1" applyAlignment="1">
      <alignment horizontal="center" vertical="center" wrapText="1"/>
    </xf>
    <xf numFmtId="0" fontId="42" fillId="0" borderId="28" xfId="3" applyFont="1" applyBorder="1"/>
    <xf numFmtId="0" fontId="42" fillId="0" borderId="47" xfId="3" applyFont="1" applyBorder="1"/>
    <xf numFmtId="0" fontId="42" fillId="0" borderId="47" xfId="3" applyFont="1" applyBorder="1" applyAlignment="1">
      <alignment horizontal="left"/>
    </xf>
    <xf numFmtId="9" fontId="42" fillId="0" borderId="29" xfId="4" applyFont="1" applyFill="1" applyBorder="1" applyAlignment="1">
      <alignment horizontal="center" vertical="center"/>
    </xf>
    <xf numFmtId="9" fontId="42" fillId="0" borderId="29" xfId="3" applyNumberFormat="1" applyFont="1" applyBorder="1" applyAlignment="1">
      <alignment vertical="center"/>
    </xf>
    <xf numFmtId="0" fontId="42" fillId="0" borderId="35" xfId="3" applyFont="1" applyBorder="1" applyAlignment="1">
      <alignment horizontal="center" vertical="center"/>
    </xf>
    <xf numFmtId="0" fontId="42" fillId="0" borderId="29" xfId="3" applyFont="1" applyBorder="1" applyAlignment="1">
      <alignment vertical="center"/>
    </xf>
    <xf numFmtId="0" fontId="44" fillId="0" borderId="35" xfId="3" applyFont="1" applyBorder="1" applyAlignment="1">
      <alignment horizontal="center" vertical="center"/>
    </xf>
    <xf numFmtId="0" fontId="42" fillId="0" borderId="28" xfId="3" applyFont="1" applyBorder="1" applyAlignment="1">
      <alignment horizontal="left"/>
    </xf>
    <xf numFmtId="0" fontId="43" fillId="0" borderId="35" xfId="3" applyFont="1" applyBorder="1" applyAlignment="1">
      <alignment horizontal="center"/>
    </xf>
    <xf numFmtId="0" fontId="42" fillId="0" borderId="18" xfId="3" applyFont="1" applyBorder="1"/>
    <xf numFmtId="9" fontId="42" fillId="0" borderId="19" xfId="4" applyFont="1" applyFill="1" applyBorder="1" applyAlignment="1">
      <alignment horizontal="center" vertical="center"/>
    </xf>
    <xf numFmtId="0" fontId="42" fillId="0" borderId="19" xfId="3" applyFont="1" applyBorder="1" applyAlignment="1">
      <alignment vertical="center"/>
    </xf>
    <xf numFmtId="0" fontId="44" fillId="0" borderId="16" xfId="3" applyFont="1" applyBorder="1" applyAlignment="1">
      <alignment horizontal="center" vertical="center"/>
    </xf>
    <xf numFmtId="0" fontId="42" fillId="0" borderId="11" xfId="3" applyFont="1" applyBorder="1"/>
    <xf numFmtId="0" fontId="42" fillId="0" borderId="48" xfId="3" applyFont="1" applyBorder="1"/>
    <xf numFmtId="0" fontId="42" fillId="0" borderId="48" xfId="3" applyFont="1" applyBorder="1" applyAlignment="1">
      <alignment horizontal="left"/>
    </xf>
    <xf numFmtId="9" fontId="42" fillId="0" borderId="12" xfId="4" applyFont="1" applyFill="1" applyBorder="1" applyAlignment="1">
      <alignment horizontal="center" vertical="center"/>
    </xf>
    <xf numFmtId="0" fontId="42" fillId="0" borderId="12" xfId="3" applyFont="1" applyBorder="1" applyAlignment="1">
      <alignment vertical="center"/>
    </xf>
    <xf numFmtId="0" fontId="44" fillId="0" borderId="36" xfId="3" applyFont="1" applyBorder="1" applyAlignment="1">
      <alignment horizontal="center" vertical="center"/>
    </xf>
    <xf numFmtId="0" fontId="39" fillId="0" borderId="0" xfId="3" applyFont="1" applyAlignment="1">
      <alignment vertical="center"/>
    </xf>
    <xf numFmtId="0" fontId="39" fillId="0" borderId="4" xfId="3" applyFont="1" applyBorder="1" applyAlignment="1">
      <alignment horizontal="center" vertical="center"/>
    </xf>
    <xf numFmtId="0" fontId="39" fillId="0" borderId="5" xfId="3" applyFont="1" applyBorder="1" applyAlignment="1">
      <alignment horizontal="center" vertical="center"/>
    </xf>
    <xf numFmtId="0" fontId="41" fillId="0" borderId="14" xfId="3" applyFont="1" applyBorder="1" applyAlignment="1">
      <alignment horizontal="center" vertical="center" wrapText="1"/>
    </xf>
    <xf numFmtId="0" fontId="40" fillId="0" borderId="14" xfId="3" applyFont="1" applyBorder="1" applyAlignment="1">
      <alignment horizontal="center" vertical="center" wrapText="1"/>
    </xf>
    <xf numFmtId="0" fontId="40" fillId="0" borderId="49" xfId="3" applyFont="1" applyBorder="1" applyAlignment="1">
      <alignment horizontal="center" vertical="center" wrapText="1"/>
    </xf>
    <xf numFmtId="0" fontId="6" fillId="0" borderId="50" xfId="3" applyBorder="1" applyAlignment="1">
      <alignment horizontal="left"/>
    </xf>
    <xf numFmtId="9" fontId="6" fillId="0" borderId="14" xfId="3" applyNumberFormat="1" applyBorder="1" applyAlignment="1">
      <alignment horizontal="center" vertical="center"/>
    </xf>
    <xf numFmtId="0" fontId="6" fillId="0" borderId="49" xfId="3" applyBorder="1" applyAlignment="1">
      <alignment horizontal="center" vertical="center"/>
    </xf>
    <xf numFmtId="0" fontId="6" fillId="0" borderId="11" xfId="3" applyBorder="1"/>
    <xf numFmtId="0" fontId="6" fillId="0" borderId="48" xfId="3" applyBorder="1"/>
    <xf numFmtId="0" fontId="6" fillId="0" borderId="48" xfId="3" applyBorder="1" applyAlignment="1">
      <alignment horizontal="left"/>
    </xf>
    <xf numFmtId="9" fontId="6" fillId="0" borderId="12" xfId="3" applyNumberFormat="1" applyBorder="1" applyAlignment="1">
      <alignment horizontal="center" vertical="center"/>
    </xf>
    <xf numFmtId="0" fontId="6" fillId="0" borderId="12" xfId="3" applyBorder="1" applyAlignment="1">
      <alignment vertical="center"/>
    </xf>
    <xf numFmtId="0" fontId="6" fillId="0" borderId="36" xfId="3" applyBorder="1" applyAlignment="1">
      <alignment horizontal="center" vertical="center"/>
    </xf>
    <xf numFmtId="0" fontId="38" fillId="0" borderId="0" xfId="3" applyFont="1" applyAlignment="1">
      <alignment horizontal="left"/>
    </xf>
    <xf numFmtId="10" fontId="0" fillId="0" borderId="0" xfId="4" applyNumberFormat="1" applyFont="1" applyBorder="1"/>
    <xf numFmtId="0" fontId="6" fillId="0" borderId="0" xfId="3" applyAlignment="1">
      <alignment horizontal="center" vertical="center"/>
    </xf>
    <xf numFmtId="0" fontId="38" fillId="0" borderId="0" xfId="3" applyFont="1"/>
    <xf numFmtId="9" fontId="38" fillId="21" borderId="1" xfId="3" applyNumberFormat="1" applyFont="1" applyFill="1" applyBorder="1"/>
    <xf numFmtId="0" fontId="12" fillId="0" borderId="29" xfId="0" applyFont="1" applyBorder="1" applyAlignment="1">
      <alignment horizontal="left" vertical="center"/>
    </xf>
    <xf numFmtId="0" fontId="36" fillId="0" borderId="0" xfId="0" applyFont="1" applyAlignment="1">
      <alignment vertical="top" wrapText="1"/>
    </xf>
    <xf numFmtId="0" fontId="0" fillId="11" borderId="18" xfId="0" applyFill="1" applyBorder="1" applyAlignment="1">
      <alignment horizontal="left" wrapText="1" indent="2"/>
    </xf>
    <xf numFmtId="0" fontId="21" fillId="11" borderId="30" xfId="0" applyFont="1" applyFill="1" applyBorder="1" applyAlignment="1">
      <alignment wrapText="1"/>
    </xf>
    <xf numFmtId="0" fontId="0" fillId="16" borderId="19" xfId="0" applyFill="1" applyBorder="1" applyAlignment="1">
      <alignment horizontal="center" vertical="center" wrapText="1"/>
    </xf>
    <xf numFmtId="0" fontId="22" fillId="16" borderId="19" xfId="0" applyFont="1" applyFill="1" applyBorder="1" applyAlignment="1">
      <alignment horizontal="center" vertical="center" wrapText="1"/>
    </xf>
    <xf numFmtId="0" fontId="0" fillId="0" borderId="0" xfId="0" applyAlignment="1">
      <alignment wrapText="1"/>
    </xf>
    <xf numFmtId="0" fontId="23" fillId="14" borderId="34" xfId="0" applyFont="1" applyFill="1" applyBorder="1" applyAlignment="1" applyProtection="1">
      <alignment horizontal="center" vertical="center" wrapText="1"/>
      <protection locked="0"/>
    </xf>
    <xf numFmtId="0" fontId="0" fillId="11" borderId="19" xfId="0" applyFill="1" applyBorder="1" applyAlignment="1">
      <alignment horizontal="center" vertical="center" wrapText="1"/>
    </xf>
    <xf numFmtId="0" fontId="22" fillId="11" borderId="19" xfId="0" applyFont="1" applyFill="1" applyBorder="1" applyAlignment="1">
      <alignment horizontal="center" vertical="center" wrapText="1"/>
    </xf>
    <xf numFmtId="0" fontId="21" fillId="16" borderId="30" xfId="0" applyFont="1" applyFill="1" applyBorder="1" applyAlignment="1">
      <alignment wrapText="1"/>
    </xf>
    <xf numFmtId="0" fontId="0" fillId="11" borderId="11" xfId="0" applyFill="1" applyBorder="1" applyAlignment="1">
      <alignment horizontal="left" wrapText="1" indent="2"/>
    </xf>
    <xf numFmtId="0" fontId="0" fillId="3" borderId="28" xfId="0" applyFill="1" applyBorder="1" applyAlignment="1">
      <alignment horizontal="left" wrapText="1" indent="2"/>
    </xf>
    <xf numFmtId="0" fontId="0" fillId="3" borderId="19" xfId="0" applyFill="1" applyBorder="1" applyAlignment="1">
      <alignment horizontal="center" vertical="center" wrapText="1"/>
    </xf>
    <xf numFmtId="0" fontId="22" fillId="3" borderId="19" xfId="0" applyFont="1" applyFill="1" applyBorder="1" applyAlignment="1">
      <alignment horizontal="center" vertical="center" wrapText="1"/>
    </xf>
    <xf numFmtId="0" fontId="0" fillId="14" borderId="27" xfId="0" applyFill="1" applyBorder="1" applyAlignment="1">
      <alignment horizontal="center" vertical="center" wrapText="1"/>
    </xf>
    <xf numFmtId="0" fontId="22" fillId="14" borderId="27" xfId="0" applyFont="1" applyFill="1" applyBorder="1" applyAlignment="1">
      <alignment horizontal="center" vertical="center" wrapText="1"/>
    </xf>
    <xf numFmtId="0" fontId="0" fillId="3" borderId="11" xfId="0" applyFill="1" applyBorder="1" applyAlignment="1">
      <alignment horizontal="left" indent="2"/>
    </xf>
    <xf numFmtId="0" fontId="47" fillId="22" borderId="13" xfId="3" applyFont="1" applyFill="1" applyBorder="1"/>
    <xf numFmtId="0" fontId="47" fillId="22" borderId="50" xfId="3" applyFont="1" applyFill="1" applyBorder="1" applyAlignment="1">
      <alignment horizontal="left"/>
    </xf>
    <xf numFmtId="9" fontId="47" fillId="22" borderId="14" xfId="3" applyNumberFormat="1" applyFont="1" applyFill="1" applyBorder="1" applyAlignment="1">
      <alignment horizontal="center" vertical="center"/>
    </xf>
    <xf numFmtId="0" fontId="47" fillId="22" borderId="14" xfId="3" applyFont="1" applyFill="1" applyBorder="1" applyAlignment="1">
      <alignment vertical="center"/>
    </xf>
    <xf numFmtId="166" fontId="35" fillId="0" borderId="0" xfId="1" applyBorder="1" applyAlignment="1" applyProtection="1">
      <alignment horizontal="center" vertical="center"/>
    </xf>
    <xf numFmtId="0" fontId="5" fillId="0" borderId="50" xfId="3" applyFont="1" applyBorder="1"/>
    <xf numFmtId="0" fontId="0" fillId="16" borderId="11" xfId="0" applyFill="1" applyBorder="1" applyAlignment="1">
      <alignment horizontal="left" vertical="top" wrapText="1" indent="2"/>
    </xf>
    <xf numFmtId="0" fontId="5" fillId="0" borderId="50" xfId="3" applyFont="1" applyBorder="1" applyAlignment="1">
      <alignment horizontal="left"/>
    </xf>
    <xf numFmtId="0" fontId="45" fillId="0" borderId="0" xfId="3" applyFont="1"/>
    <xf numFmtId="0" fontId="42" fillId="0" borderId="0" xfId="3" applyFont="1" applyAlignment="1">
      <alignment horizontal="left" vertical="top" wrapText="1"/>
    </xf>
    <xf numFmtId="0" fontId="42" fillId="0" borderId="0" xfId="3" applyFont="1" applyAlignment="1">
      <alignment horizontal="left" vertical="top"/>
    </xf>
    <xf numFmtId="0" fontId="39" fillId="0" borderId="0" xfId="3" applyFont="1"/>
    <xf numFmtId="0" fontId="38" fillId="0" borderId="29" xfId="3" applyFont="1" applyBorder="1"/>
    <xf numFmtId="0" fontId="38" fillId="0" borderId="29" xfId="3" applyFont="1" applyBorder="1" applyAlignment="1">
      <alignment horizontal="center" vertical="center"/>
    </xf>
    <xf numFmtId="0" fontId="42" fillId="0" borderId="29" xfId="3" applyFont="1" applyBorder="1" applyAlignment="1">
      <alignment vertical="top"/>
    </xf>
    <xf numFmtId="9" fontId="42" fillId="0" borderId="29" xfId="3" applyNumberFormat="1" applyFont="1" applyBorder="1" applyAlignment="1">
      <alignment horizontal="left" vertical="top"/>
    </xf>
    <xf numFmtId="0" fontId="42" fillId="0" borderId="29" xfId="3" applyFont="1" applyBorder="1" applyAlignment="1">
      <alignment horizontal="left" vertical="top" wrapText="1"/>
    </xf>
    <xf numFmtId="0" fontId="42" fillId="0" borderId="29" xfId="3" applyFont="1" applyBorder="1" applyAlignment="1">
      <alignment vertical="top" wrapText="1"/>
    </xf>
    <xf numFmtId="0" fontId="38" fillId="0" borderId="0" xfId="3" applyFont="1" applyAlignment="1">
      <alignment horizontal="right"/>
    </xf>
    <xf numFmtId="9" fontId="49" fillId="0" borderId="0" xfId="3" applyNumberFormat="1" applyFont="1" applyAlignment="1">
      <alignment horizontal="left"/>
    </xf>
    <xf numFmtId="0" fontId="50" fillId="0" borderId="0" xfId="3" applyFont="1"/>
    <xf numFmtId="0" fontId="0" fillId="11" borderId="28" xfId="0" applyFill="1" applyBorder="1" applyAlignment="1">
      <alignment horizontal="left" wrapText="1" indent="2"/>
    </xf>
    <xf numFmtId="0" fontId="4" fillId="0" borderId="14" xfId="3" applyFont="1" applyBorder="1" applyAlignment="1">
      <alignment vertical="center"/>
    </xf>
    <xf numFmtId="0" fontId="4" fillId="0" borderId="13" xfId="3" applyFont="1" applyBorder="1"/>
    <xf numFmtId="0" fontId="4" fillId="0" borderId="50" xfId="3" applyFont="1" applyBorder="1"/>
    <xf numFmtId="0" fontId="3" fillId="0" borderId="13" xfId="3" applyFont="1" applyBorder="1"/>
    <xf numFmtId="0" fontId="3" fillId="0" borderId="50" xfId="3" applyFont="1" applyBorder="1"/>
    <xf numFmtId="0" fontId="2" fillId="0" borderId="14" xfId="3" applyFont="1" applyBorder="1" applyAlignment="1">
      <alignment vertical="center"/>
    </xf>
    <xf numFmtId="9" fontId="42" fillId="0" borderId="19" xfId="3" applyNumberFormat="1" applyFont="1" applyBorder="1" applyAlignment="1">
      <alignment horizontal="left" vertical="top"/>
    </xf>
    <xf numFmtId="9" fontId="51" fillId="23" borderId="1" xfId="3" applyNumberFormat="1" applyFont="1" applyFill="1" applyBorder="1" applyAlignment="1">
      <alignment horizontal="left"/>
    </xf>
    <xf numFmtId="0" fontId="7" fillId="2" borderId="1" xfId="0" applyFont="1" applyFill="1" applyBorder="1" applyAlignment="1">
      <alignment horizontal="center" vertical="center"/>
    </xf>
    <xf numFmtId="0" fontId="7" fillId="3" borderId="1" xfId="0" applyFont="1" applyFill="1" applyBorder="1" applyAlignment="1">
      <alignment horizontal="left" vertical="center"/>
    </xf>
    <xf numFmtId="0" fontId="8" fillId="4" borderId="2" xfId="0" applyFont="1" applyFill="1" applyBorder="1" applyAlignment="1">
      <alignment horizontal="left" vertical="center"/>
    </xf>
    <xf numFmtId="0" fontId="11" fillId="5" borderId="9" xfId="0" applyFont="1" applyFill="1" applyBorder="1" applyAlignment="1">
      <alignment horizontal="left"/>
    </xf>
    <xf numFmtId="0" fontId="13" fillId="0" borderId="10" xfId="0" applyFont="1" applyBorder="1" applyAlignment="1">
      <alignment horizontal="center"/>
    </xf>
    <xf numFmtId="0" fontId="15" fillId="0" borderId="20" xfId="0" applyFont="1" applyBorder="1" applyAlignment="1">
      <alignment horizontal="left" vertical="top" wrapText="1"/>
    </xf>
    <xf numFmtId="0" fontId="15" fillId="0" borderId="10" xfId="0" applyFont="1" applyBorder="1" applyAlignment="1">
      <alignment horizontal="left" vertical="top" wrapText="1"/>
    </xf>
    <xf numFmtId="0" fontId="15" fillId="0" borderId="17" xfId="0" applyFont="1" applyBorder="1" applyAlignment="1">
      <alignment horizontal="left" vertical="top" wrapText="1"/>
    </xf>
    <xf numFmtId="0" fontId="21" fillId="16" borderId="8" xfId="0" applyFont="1" applyFill="1" applyBorder="1" applyAlignment="1">
      <alignment horizontal="center" vertical="center"/>
    </xf>
    <xf numFmtId="0" fontId="0" fillId="17" borderId="31" xfId="0" applyFill="1" applyBorder="1" applyAlignment="1">
      <alignment horizontal="center" vertical="center"/>
    </xf>
    <xf numFmtId="0" fontId="0" fillId="17" borderId="14" xfId="0" applyFill="1" applyBorder="1" applyAlignment="1">
      <alignment horizontal="center" vertical="center"/>
    </xf>
    <xf numFmtId="0" fontId="37" fillId="12" borderId="29" xfId="0" applyFont="1" applyFill="1" applyBorder="1" applyAlignment="1">
      <alignment horizontal="center" vertical="center" wrapText="1"/>
    </xf>
    <xf numFmtId="0" fontId="37" fillId="15" borderId="29" xfId="0" applyFont="1" applyFill="1" applyBorder="1" applyAlignment="1">
      <alignment horizontal="center" vertical="center" wrapText="1"/>
    </xf>
    <xf numFmtId="0" fontId="37" fillId="15" borderId="35" xfId="0" applyFont="1" applyFill="1" applyBorder="1" applyAlignment="1">
      <alignment horizontal="center" vertical="center" wrapText="1"/>
    </xf>
    <xf numFmtId="0" fontId="21" fillId="11" borderId="8" xfId="0" applyFont="1" applyFill="1" applyBorder="1" applyAlignment="1">
      <alignment horizontal="center" vertical="center"/>
    </xf>
    <xf numFmtId="0" fontId="21" fillId="11" borderId="31" xfId="0" applyFont="1" applyFill="1" applyBorder="1" applyAlignment="1">
      <alignment horizontal="center" vertical="center"/>
    </xf>
    <xf numFmtId="0" fontId="0" fillId="13" borderId="31" xfId="0" applyFill="1" applyBorder="1" applyAlignment="1">
      <alignment horizontal="center" vertical="center"/>
    </xf>
    <xf numFmtId="0" fontId="0" fillId="13" borderId="14" xfId="0" applyFill="1" applyBorder="1" applyAlignment="1">
      <alignment horizontal="center" vertical="center"/>
    </xf>
    <xf numFmtId="0" fontId="21" fillId="3" borderId="8" xfId="0" applyFont="1" applyFill="1" applyBorder="1" applyAlignment="1">
      <alignment horizontal="center" vertical="center"/>
    </xf>
    <xf numFmtId="0" fontId="21" fillId="3" borderId="31" xfId="0" applyFont="1" applyFill="1" applyBorder="1" applyAlignment="1">
      <alignment horizontal="center" vertical="center"/>
    </xf>
    <xf numFmtId="0" fontId="0" fillId="0" borderId="31" xfId="0" applyBorder="1" applyAlignment="1">
      <alignment horizontal="center" vertical="center"/>
    </xf>
    <xf numFmtId="0" fontId="0" fillId="0" borderId="14" xfId="0" applyBorder="1" applyAlignment="1">
      <alignment horizontal="center" vertical="center"/>
    </xf>
    <xf numFmtId="164" fontId="21" fillId="14" borderId="37" xfId="0" applyNumberFormat="1" applyFont="1" applyFill="1" applyBorder="1" applyAlignment="1">
      <alignment horizontal="center" vertical="center"/>
    </xf>
    <xf numFmtId="164" fontId="21" fillId="14" borderId="27" xfId="0" applyNumberFormat="1" applyFont="1" applyFill="1" applyBorder="1" applyAlignment="1">
      <alignment horizontal="center" vertical="center"/>
    </xf>
    <xf numFmtId="0" fontId="0" fillId="13" borderId="29" xfId="0" applyFill="1" applyBorder="1" applyAlignment="1">
      <alignment vertical="center"/>
    </xf>
    <xf numFmtId="0" fontId="0" fillId="13" borderId="19" xfId="0" applyFill="1" applyBorder="1" applyAlignment="1">
      <alignment vertical="center"/>
    </xf>
    <xf numFmtId="0" fontId="0" fillId="13" borderId="12" xfId="0" applyFill="1" applyBorder="1" applyAlignment="1">
      <alignment vertical="center"/>
    </xf>
    <xf numFmtId="0" fontId="25" fillId="2" borderId="32" xfId="0" applyFont="1" applyFill="1" applyBorder="1" applyAlignment="1">
      <alignment horizontal="left" vertical="center"/>
    </xf>
    <xf numFmtId="0" fontId="7" fillId="3" borderId="2" xfId="0" applyFont="1" applyFill="1" applyBorder="1" applyAlignment="1">
      <alignment horizontal="left" vertical="center"/>
    </xf>
    <xf numFmtId="0" fontId="8" fillId="4" borderId="21" xfId="0" applyFont="1" applyFill="1" applyBorder="1" applyAlignment="1">
      <alignment horizontal="left"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32" xfId="0" applyFont="1" applyBorder="1" applyAlignment="1">
      <alignment horizontal="center" vertical="center"/>
    </xf>
    <xf numFmtId="0" fontId="19" fillId="7" borderId="23" xfId="0" applyFont="1" applyFill="1" applyBorder="1" applyAlignment="1">
      <alignment horizontal="center" vertical="center" wrapText="1"/>
    </xf>
    <xf numFmtId="0" fontId="11" fillId="0" borderId="19" xfId="0" applyFont="1" applyBorder="1" applyAlignment="1">
      <alignment horizontal="center" vertical="center" textRotation="90" wrapText="1"/>
    </xf>
    <xf numFmtId="0" fontId="11" fillId="0" borderId="12" xfId="0" applyFont="1" applyBorder="1" applyAlignment="1">
      <alignment horizontal="center" vertical="center" textRotation="90" wrapText="1"/>
    </xf>
    <xf numFmtId="0" fontId="11" fillId="0" borderId="16" xfId="0" applyFont="1" applyBorder="1" applyAlignment="1">
      <alignment horizontal="center" vertical="center" textRotation="90" wrapText="1"/>
    </xf>
    <xf numFmtId="0" fontId="11" fillId="0" borderId="36" xfId="0" applyFont="1" applyBorder="1" applyAlignment="1">
      <alignment horizontal="center" vertical="center" textRotation="90" wrapText="1"/>
    </xf>
    <xf numFmtId="0" fontId="45" fillId="20" borderId="32" xfId="3" applyFont="1" applyFill="1" applyBorder="1" applyAlignment="1">
      <alignment horizontal="left" vertical="center"/>
    </xf>
    <xf numFmtId="0" fontId="45" fillId="20" borderId="41" xfId="3" applyFont="1" applyFill="1" applyBorder="1" applyAlignment="1">
      <alignment horizontal="left" vertical="center"/>
    </xf>
    <xf numFmtId="0" fontId="45" fillId="20" borderId="38" xfId="3" applyFont="1" applyFill="1" applyBorder="1" applyAlignment="1">
      <alignment horizontal="left" vertical="center"/>
    </xf>
    <xf numFmtId="0" fontId="42" fillId="0" borderId="32" xfId="3" applyFont="1" applyBorder="1" applyAlignment="1">
      <alignment horizontal="left" vertical="top" wrapText="1"/>
    </xf>
    <xf numFmtId="0" fontId="42" fillId="0" borderId="41" xfId="3" applyFont="1" applyBorder="1" applyAlignment="1">
      <alignment horizontal="left" vertical="top"/>
    </xf>
    <xf numFmtId="0" fontId="42" fillId="0" borderId="38" xfId="3" applyFont="1" applyBorder="1" applyAlignment="1">
      <alignment horizontal="left" vertical="top"/>
    </xf>
    <xf numFmtId="0" fontId="39" fillId="0" borderId="32" xfId="3" applyFont="1" applyBorder="1" applyAlignment="1">
      <alignment horizontal="left"/>
    </xf>
    <xf numFmtId="0" fontId="39" fillId="0" borderId="41" xfId="3" applyFont="1" applyBorder="1" applyAlignment="1">
      <alignment horizontal="left"/>
    </xf>
    <xf numFmtId="0" fontId="39" fillId="0" borderId="38" xfId="3" applyFont="1" applyBorder="1" applyAlignment="1">
      <alignment horizontal="left"/>
    </xf>
    <xf numFmtId="0" fontId="42" fillId="0" borderId="41" xfId="3" applyFont="1" applyBorder="1" applyAlignment="1">
      <alignment horizontal="left" vertical="top" wrapText="1"/>
    </xf>
    <xf numFmtId="0" fontId="42" fillId="0" borderId="38" xfId="3" applyFont="1" applyBorder="1" applyAlignment="1">
      <alignment horizontal="left" vertical="top" wrapText="1"/>
    </xf>
    <xf numFmtId="0" fontId="39" fillId="0" borderId="29" xfId="3" applyFont="1" applyBorder="1" applyAlignment="1">
      <alignment horizontal="left"/>
    </xf>
    <xf numFmtId="0" fontId="39" fillId="19" borderId="32" xfId="3" applyFont="1" applyFill="1" applyBorder="1" applyAlignment="1">
      <alignment horizontal="center" vertical="center"/>
    </xf>
    <xf numFmtId="0" fontId="39" fillId="19" borderId="41" xfId="3" applyFont="1" applyFill="1" applyBorder="1" applyAlignment="1">
      <alignment horizontal="center" vertical="center"/>
    </xf>
    <xf numFmtId="0" fontId="39" fillId="19" borderId="38" xfId="3" applyFont="1" applyFill="1" applyBorder="1" applyAlignment="1">
      <alignment horizontal="center" vertical="center"/>
    </xf>
    <xf numFmtId="0" fontId="39" fillId="17" borderId="22" xfId="3" applyFont="1" applyFill="1" applyBorder="1" applyAlignment="1">
      <alignment horizontal="left" vertical="center"/>
    </xf>
    <xf numFmtId="0" fontId="39" fillId="17" borderId="42" xfId="3" applyFont="1" applyFill="1" applyBorder="1" applyAlignment="1">
      <alignment horizontal="left" vertical="center"/>
    </xf>
    <xf numFmtId="0" fontId="39" fillId="17" borderId="17" xfId="3" applyFont="1" applyFill="1" applyBorder="1" applyAlignment="1">
      <alignment horizontal="left" vertical="center"/>
    </xf>
    <xf numFmtId="0" fontId="45" fillId="20" borderId="4" xfId="3" applyFont="1" applyFill="1" applyBorder="1" applyAlignment="1">
      <alignment horizontal="left" vertical="center"/>
    </xf>
    <xf numFmtId="0" fontId="45" fillId="20" borderId="5" xfId="3" applyFont="1" applyFill="1" applyBorder="1" applyAlignment="1">
      <alignment horizontal="left" vertical="center"/>
    </xf>
    <xf numFmtId="0" fontId="45" fillId="20" borderId="6" xfId="3" applyFont="1" applyFill="1" applyBorder="1" applyAlignment="1">
      <alignment horizontal="left" vertical="center"/>
    </xf>
    <xf numFmtId="0" fontId="46" fillId="0" borderId="0" xfId="3" applyFont="1" applyAlignment="1">
      <alignment horizontal="left" vertical="center"/>
    </xf>
    <xf numFmtId="0" fontId="7" fillId="3" borderId="33" xfId="0" applyFont="1" applyFill="1" applyBorder="1" applyAlignment="1">
      <alignment horizontal="left" vertical="center"/>
    </xf>
    <xf numFmtId="0" fontId="11" fillId="4" borderId="27" xfId="0" applyFont="1" applyFill="1" applyBorder="1" applyAlignment="1">
      <alignment horizontal="center" vertical="top"/>
    </xf>
    <xf numFmtId="0" fontId="11" fillId="4" borderId="34" xfId="0" applyFont="1" applyFill="1" applyBorder="1" applyAlignment="1">
      <alignment horizontal="center" vertical="top"/>
    </xf>
    <xf numFmtId="0" fontId="14" fillId="0" borderId="11" xfId="0" applyFont="1" applyBorder="1" applyAlignment="1">
      <alignment horizontal="left" vertical="top" wrapText="1"/>
    </xf>
    <xf numFmtId="0" fontId="12" fillId="0" borderId="29" xfId="0" applyFont="1" applyBorder="1" applyAlignment="1">
      <alignment horizontal="center" vertical="center"/>
    </xf>
    <xf numFmtId="0" fontId="12" fillId="0" borderId="29"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29" xfId="0" applyFont="1" applyBorder="1" applyAlignment="1">
      <alignment horizontal="center" vertical="top" wrapText="1"/>
    </xf>
    <xf numFmtId="0" fontId="12" fillId="0" borderId="35" xfId="0" applyFont="1" applyBorder="1" applyAlignment="1">
      <alignment horizontal="center" vertical="top" wrapText="1"/>
    </xf>
    <xf numFmtId="0" fontId="12" fillId="0" borderId="29" xfId="0" applyFont="1" applyBorder="1" applyAlignment="1">
      <alignment horizontal="center" vertical="top"/>
    </xf>
    <xf numFmtId="0" fontId="12" fillId="0" borderId="35" xfId="0" applyFont="1" applyBorder="1" applyAlignment="1">
      <alignment horizontal="center" vertical="top"/>
    </xf>
    <xf numFmtId="0" fontId="12" fillId="0" borderId="12" xfId="0" applyFont="1" applyBorder="1" applyAlignment="1">
      <alignment horizontal="center" vertical="top"/>
    </xf>
    <xf numFmtId="0" fontId="12" fillId="0" borderId="36" xfId="0" applyFont="1" applyBorder="1" applyAlignment="1">
      <alignment horizontal="center" vertical="top"/>
    </xf>
    <xf numFmtId="0" fontId="11" fillId="4" borderId="37" xfId="0" applyFont="1" applyFill="1" applyBorder="1" applyAlignment="1">
      <alignment horizontal="center" vertical="top"/>
    </xf>
    <xf numFmtId="0" fontId="11" fillId="4" borderId="15" xfId="0" applyFont="1" applyFill="1" applyBorder="1" applyAlignment="1">
      <alignment horizontal="center" vertical="top"/>
    </xf>
    <xf numFmtId="0" fontId="12" fillId="0" borderId="29" xfId="0" applyFont="1" applyBorder="1" applyAlignment="1">
      <alignment horizontal="left" vertical="top"/>
    </xf>
    <xf numFmtId="0" fontId="11" fillId="0" borderId="29" xfId="0" applyFont="1" applyBorder="1" applyAlignment="1">
      <alignment horizontal="center" vertical="top" wrapText="1"/>
    </xf>
    <xf numFmtId="0" fontId="11" fillId="7" borderId="32" xfId="0" applyFont="1" applyFill="1" applyBorder="1" applyAlignment="1">
      <alignment horizontal="center" vertical="top" wrapText="1"/>
    </xf>
    <xf numFmtId="0" fontId="12" fillId="7" borderId="38" xfId="0" applyFont="1" applyFill="1" applyBorder="1" applyAlignment="1">
      <alignment horizontal="center" vertical="top"/>
    </xf>
    <xf numFmtId="0" fontId="12" fillId="0" borderId="15" xfId="0" applyFont="1" applyBorder="1" applyAlignment="1">
      <alignment horizontal="center" vertical="top"/>
    </xf>
    <xf numFmtId="0" fontId="0" fillId="0" borderId="35" xfId="0" applyBorder="1" applyAlignment="1">
      <alignment horizontal="center"/>
    </xf>
    <xf numFmtId="0" fontId="26" fillId="0" borderId="35" xfId="0" applyFont="1" applyBorder="1" applyAlignment="1">
      <alignment horizontal="center"/>
    </xf>
    <xf numFmtId="0" fontId="0" fillId="0" borderId="36" xfId="0" applyBorder="1" applyAlignment="1">
      <alignment horizontal="center"/>
    </xf>
    <xf numFmtId="0" fontId="12" fillId="0" borderId="51" xfId="0" applyFont="1" applyBorder="1" applyAlignment="1">
      <alignment horizontal="center" vertical="top" wrapText="1"/>
    </xf>
    <xf numFmtId="0" fontId="12" fillId="0" borderId="44" xfId="0" applyFont="1" applyBorder="1" applyAlignment="1">
      <alignment horizontal="center" vertical="top" wrapText="1"/>
    </xf>
    <xf numFmtId="0" fontId="12" fillId="0" borderId="52" xfId="0" applyFont="1" applyBorder="1" applyAlignment="1">
      <alignment horizontal="center" vertical="top" wrapText="1"/>
    </xf>
    <xf numFmtId="0" fontId="32" fillId="10" borderId="32" xfId="0" applyFont="1" applyFill="1" applyBorder="1" applyAlignment="1">
      <alignment horizontal="center" vertical="top" textRotation="90"/>
    </xf>
    <xf numFmtId="0" fontId="34" fillId="0" borderId="35" xfId="2" applyBorder="1" applyAlignment="1" applyProtection="1">
      <alignment horizontal="center"/>
    </xf>
    <xf numFmtId="0" fontId="0" fillId="7" borderId="39" xfId="0" applyFill="1" applyBorder="1" applyAlignment="1">
      <alignment horizontal="center" vertical="center"/>
    </xf>
    <xf numFmtId="0" fontId="8" fillId="9" borderId="33" xfId="0" applyFont="1" applyFill="1" applyBorder="1" applyAlignment="1">
      <alignment horizontal="left" vertical="center"/>
    </xf>
    <xf numFmtId="0" fontId="8" fillId="9" borderId="21" xfId="0" applyFont="1" applyFill="1" applyBorder="1" applyAlignment="1">
      <alignment horizontal="left" vertical="center"/>
    </xf>
    <xf numFmtId="0" fontId="34" fillId="0" borderId="35" xfId="2" applyBorder="1" applyAlignment="1" applyProtection="1">
      <alignment horizontal="center" vertical="center"/>
    </xf>
    <xf numFmtId="0" fontId="11" fillId="5" borderId="22" xfId="0" applyFont="1" applyFill="1" applyBorder="1" applyAlignment="1">
      <alignment horizontal="center"/>
    </xf>
  </cellXfs>
  <cellStyles count="9">
    <cellStyle name="Comma 2" xfId="8" xr:uid="{D5FEBE50-68B8-46AA-ABFC-3D5CA2C4F65C}"/>
    <cellStyle name="Currency" xfId="1" builtinId="4"/>
    <cellStyle name="Currency 2" xfId="6" xr:uid="{A1276981-AA45-4D3A-942D-78EABAA6B868}"/>
    <cellStyle name="Hyperlink" xfId="2" builtinId="8"/>
    <cellStyle name="Normal" xfId="0" builtinId="0"/>
    <cellStyle name="Normal 2" xfId="3" xr:uid="{30ED056C-D3B9-4FB4-B3B3-7A437228F872}"/>
    <cellStyle name="Normal 3" xfId="5" xr:uid="{B95D7270-0014-4E4F-9E36-96DA87FD03A8}"/>
    <cellStyle name="Percent 2" xfId="4" xr:uid="{548AEF06-02ED-4BA6-8E10-F5FE33254363}"/>
    <cellStyle name="Percent 3" xfId="7" xr:uid="{CA83B0C4-0B14-4ADD-81BC-B4B8A5351D87}"/>
  </cellStyles>
  <dxfs count="2">
    <dxf>
      <fill>
        <patternFill>
          <bgColor theme="9" tint="0.79998168889431442"/>
        </patternFill>
      </fill>
    </dxf>
    <dxf>
      <fill>
        <patternFill>
          <bgColor theme="9"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70C0"/>
      <rgbColor rgb="FFA9D18E"/>
      <rgbColor rgb="FF808080"/>
      <rgbColor rgb="FF9999FF"/>
      <rgbColor rgb="FF993366"/>
      <rgbColor rgb="FFFFF2CC"/>
      <rgbColor rgb="FFDE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AE3F3"/>
      <rgbColor rgb="FFC5E0B4"/>
      <rgbColor rgb="FFFFFF99"/>
      <rgbColor rgb="FF99CCFF"/>
      <rgbColor rgb="FFFFCCFF"/>
      <rgbColor rgb="FFCC99FF"/>
      <rgbColor rgb="FFFFE699"/>
      <rgbColor rgb="FF3366FF"/>
      <rgbColor rgb="FF33CCCC"/>
      <rgbColor rgb="FF99CC00"/>
      <rgbColor rgb="FFFFCC00"/>
      <rgbColor rgb="FFFF9900"/>
      <rgbColor rgb="FFFF6600"/>
      <rgbColor rgb="FF595959"/>
      <rgbColor rgb="FFA6A6A6"/>
      <rgbColor rgb="FF002060"/>
      <rgbColor rgb="FF339966"/>
      <rgbColor rgb="FF003300"/>
      <rgbColor rgb="FF385724"/>
      <rgbColor rgb="FF993300"/>
      <rgbColor rgb="FF993366"/>
      <rgbColor rgb="FF333399"/>
      <rgbColor rgb="FF20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matthieu_demari@sutd.edu.s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zoomScale="89" zoomScaleNormal="89" workbookViewId="0">
      <selection activeCell="D1" sqref="D1"/>
    </sheetView>
  </sheetViews>
  <sheetFormatPr defaultColWidth="8.81640625" defaultRowHeight="14.5" x14ac:dyDescent="0.35"/>
  <cols>
    <col min="1" max="1" width="31.7265625" style="1" customWidth="1"/>
    <col min="2" max="2" width="90.81640625" style="1" customWidth="1"/>
    <col min="3" max="3" width="59.81640625" customWidth="1"/>
    <col min="4" max="5" width="28.7265625" customWidth="1"/>
  </cols>
  <sheetData>
    <row r="1" spans="1:10" ht="45" customHeight="1" x14ac:dyDescent="0.35">
      <c r="A1" s="192" t="s">
        <v>0</v>
      </c>
      <c r="B1" s="192"/>
      <c r="C1" s="192"/>
    </row>
    <row r="2" spans="1:10" ht="30" customHeight="1" x14ac:dyDescent="0.35">
      <c r="A2" s="193" t="s">
        <v>1</v>
      </c>
      <c r="B2" s="193"/>
      <c r="C2" s="193"/>
    </row>
    <row r="3" spans="1:10" ht="30" customHeight="1" x14ac:dyDescent="0.35">
      <c r="A3" s="194" t="s">
        <v>2</v>
      </c>
      <c r="B3" s="194"/>
      <c r="C3" s="194"/>
      <c r="D3" s="2"/>
      <c r="E3" s="2"/>
      <c r="F3" s="3"/>
      <c r="G3" s="4"/>
      <c r="H3" s="4"/>
      <c r="I3" s="4"/>
      <c r="J3" s="4"/>
    </row>
    <row r="4" spans="1:10" ht="30" customHeight="1" x14ac:dyDescent="0.35">
      <c r="A4" s="5" t="s">
        <v>3</v>
      </c>
      <c r="B4" s="6"/>
      <c r="C4" s="7"/>
      <c r="D4" s="2"/>
      <c r="E4" s="2"/>
      <c r="F4" s="3"/>
      <c r="G4" s="4"/>
      <c r="H4" s="4"/>
      <c r="I4" s="4"/>
      <c r="J4" s="4"/>
    </row>
    <row r="5" spans="1:10" ht="15.5" x14ac:dyDescent="0.35">
      <c r="A5" s="8" t="s">
        <v>4</v>
      </c>
      <c r="B5" s="9" t="s">
        <v>200</v>
      </c>
      <c r="C5" s="10"/>
    </row>
    <row r="6" spans="1:10" ht="15.5" x14ac:dyDescent="0.35">
      <c r="A6" s="195" t="s">
        <v>5</v>
      </c>
      <c r="B6" s="195"/>
      <c r="C6" s="196"/>
    </row>
    <row r="7" spans="1:10" ht="45" customHeight="1" x14ac:dyDescent="0.35">
      <c r="A7" s="11" t="s">
        <v>6</v>
      </c>
      <c r="B7" s="144" t="s">
        <v>7</v>
      </c>
      <c r="C7" s="196"/>
    </row>
    <row r="8" spans="1:10" ht="26" x14ac:dyDescent="0.35">
      <c r="A8" s="12" t="s">
        <v>8</v>
      </c>
      <c r="B8" s="53">
        <v>2</v>
      </c>
      <c r="C8" s="13" t="s">
        <v>9</v>
      </c>
    </row>
    <row r="9" spans="1:10" ht="15.5" x14ac:dyDescent="0.35">
      <c r="A9" s="8" t="s">
        <v>10</v>
      </c>
      <c r="B9" s="9">
        <v>40</v>
      </c>
      <c r="C9" s="14"/>
    </row>
    <row r="10" spans="1:10" ht="15.5" x14ac:dyDescent="0.35">
      <c r="A10" s="195" t="s">
        <v>11</v>
      </c>
      <c r="B10" s="195"/>
      <c r="C10" s="199"/>
    </row>
    <row r="11" spans="1:10" ht="134.25" customHeight="1" x14ac:dyDescent="0.35">
      <c r="A11" s="15" t="s">
        <v>12</v>
      </c>
      <c r="B11" s="16" t="s">
        <v>201</v>
      </c>
      <c r="C11" s="199"/>
    </row>
    <row r="12" spans="1:10" ht="15.75" customHeight="1" x14ac:dyDescent="0.35">
      <c r="A12" s="195" t="s">
        <v>13</v>
      </c>
      <c r="B12" s="195"/>
      <c r="C12" s="197" t="s">
        <v>14</v>
      </c>
    </row>
    <row r="13" spans="1:10" ht="237" customHeight="1" x14ac:dyDescent="0.35">
      <c r="A13" s="15" t="s">
        <v>15</v>
      </c>
      <c r="B13" s="16" t="s">
        <v>197</v>
      </c>
      <c r="C13" s="197"/>
    </row>
    <row r="14" spans="1:10" ht="15.75" customHeight="1" x14ac:dyDescent="0.35">
      <c r="A14" s="195" t="s">
        <v>16</v>
      </c>
      <c r="B14" s="195"/>
      <c r="C14" s="197" t="s">
        <v>17</v>
      </c>
    </row>
    <row r="15" spans="1:10" ht="130.5" customHeight="1" x14ac:dyDescent="0.35">
      <c r="A15" s="15" t="s">
        <v>18</v>
      </c>
      <c r="B15" s="145" t="s">
        <v>198</v>
      </c>
      <c r="C15" s="197"/>
    </row>
    <row r="16" spans="1:10" ht="15.75" customHeight="1" x14ac:dyDescent="0.35">
      <c r="A16" s="195" t="s">
        <v>19</v>
      </c>
      <c r="B16" s="195"/>
      <c r="C16" s="197" t="s">
        <v>20</v>
      </c>
    </row>
    <row r="17" spans="1:3" ht="84.75" customHeight="1" x14ac:dyDescent="0.35">
      <c r="A17" s="15" t="s">
        <v>21</v>
      </c>
      <c r="B17" s="16" t="s">
        <v>199</v>
      </c>
      <c r="C17" s="197"/>
    </row>
    <row r="18" spans="1:3" ht="15.75" customHeight="1" x14ac:dyDescent="0.35">
      <c r="A18" s="195" t="s">
        <v>22</v>
      </c>
      <c r="B18" s="195"/>
      <c r="C18" s="198" t="s">
        <v>23</v>
      </c>
    </row>
    <row r="19" spans="1:3" ht="52.9" customHeight="1" x14ac:dyDescent="0.35">
      <c r="A19" s="17" t="s">
        <v>24</v>
      </c>
      <c r="B19" s="18" t="s">
        <v>25</v>
      </c>
      <c r="C19" s="198"/>
    </row>
  </sheetData>
  <mergeCells count="15">
    <mergeCell ref="A16:B16"/>
    <mergeCell ref="C16:C17"/>
    <mergeCell ref="A18:B18"/>
    <mergeCell ref="C18:C19"/>
    <mergeCell ref="A10:B10"/>
    <mergeCell ref="C10:C11"/>
    <mergeCell ref="A12:B12"/>
    <mergeCell ref="C12:C13"/>
    <mergeCell ref="A14:B14"/>
    <mergeCell ref="C14:C15"/>
    <mergeCell ref="A1:C1"/>
    <mergeCell ref="A2:C2"/>
    <mergeCell ref="A3:C3"/>
    <mergeCell ref="A6:B6"/>
    <mergeCell ref="C6:C7"/>
  </mergeCells>
  <dataValidations count="1">
    <dataValidation type="list" allowBlank="1" showInputMessage="1" showErrorMessage="1" sqref="A1:C1" xr:uid="{00000000-0002-0000-0000-000000000000}">
      <formula1>"New Course Proposal Form for SUTD Academy,Course Revisons Form for SUTD Academy"</formula1>
      <formula2>0</formula2>
    </dataValidation>
  </dataValidations>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Glossary!$B$2:$B$4</xm:f>
          </x14:formula1>
          <x14:formula2>
            <xm:f>0</xm:f>
          </x14:formula2>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6"/>
  <sheetViews>
    <sheetView topLeftCell="A7" zoomScaleNormal="100" workbookViewId="0">
      <selection activeCell="E23" sqref="E23"/>
    </sheetView>
  </sheetViews>
  <sheetFormatPr defaultColWidth="8.81640625" defaultRowHeight="14.5" x14ac:dyDescent="0.35"/>
  <cols>
    <col min="1" max="1" width="102.453125" customWidth="1"/>
    <col min="2" max="2" width="10.7265625" customWidth="1"/>
    <col min="3" max="6" width="10.7265625" style="19" customWidth="1"/>
    <col min="7" max="7" width="9.81640625" style="19" customWidth="1"/>
    <col min="8" max="8" width="13.453125" style="19" customWidth="1"/>
  </cols>
  <sheetData>
    <row r="1" spans="1:10" ht="45" customHeight="1" x14ac:dyDescent="0.35">
      <c r="A1" s="192" t="str">
        <f>'(1) Course Details'!A1:C1</f>
        <v>New Course Proposal Form for SUTD Academy</v>
      </c>
      <c r="B1" s="192"/>
      <c r="C1" s="192"/>
      <c r="D1" s="192"/>
      <c r="E1" s="192"/>
      <c r="F1" s="192"/>
      <c r="G1" s="192"/>
      <c r="H1" s="192"/>
    </row>
    <row r="2" spans="1:10" ht="30" customHeight="1" x14ac:dyDescent="0.35">
      <c r="A2" s="220" t="s">
        <v>26</v>
      </c>
      <c r="B2" s="220"/>
      <c r="C2" s="220"/>
      <c r="D2" s="220"/>
      <c r="E2" s="220"/>
      <c r="F2" s="220"/>
      <c r="G2" s="220"/>
      <c r="H2" s="220"/>
    </row>
    <row r="3" spans="1:10" ht="30" customHeight="1" x14ac:dyDescent="0.35">
      <c r="A3" s="221" t="s">
        <v>27</v>
      </c>
      <c r="B3" s="221"/>
      <c r="C3" s="221"/>
      <c r="D3" s="221"/>
      <c r="E3" s="221"/>
      <c r="F3" s="221"/>
      <c r="G3" s="221"/>
      <c r="H3" s="221"/>
      <c r="I3" s="4"/>
      <c r="J3" s="4"/>
    </row>
    <row r="4" spans="1:10" ht="30" customHeight="1" thickBot="1" x14ac:dyDescent="0.4">
      <c r="A4" s="222" t="s">
        <v>28</v>
      </c>
      <c r="B4" s="222"/>
      <c r="C4" s="222"/>
      <c r="D4" s="222"/>
      <c r="E4" s="222"/>
      <c r="F4" s="222"/>
      <c r="G4" s="222"/>
      <c r="H4" s="222"/>
    </row>
    <row r="5" spans="1:10" ht="45" customHeight="1" thickBot="1" x14ac:dyDescent="0.4">
      <c r="A5" s="223" t="s">
        <v>29</v>
      </c>
      <c r="B5" s="225" t="s">
        <v>30</v>
      </c>
      <c r="C5" s="225"/>
      <c r="D5" s="225"/>
      <c r="E5" s="225"/>
      <c r="F5" s="225"/>
      <c r="G5" s="225"/>
      <c r="H5" s="225"/>
    </row>
    <row r="6" spans="1:10" ht="18.75" customHeight="1" thickBot="1" x14ac:dyDescent="0.4">
      <c r="A6" s="223"/>
      <c r="B6" s="226" t="s">
        <v>31</v>
      </c>
      <c r="C6" s="226" t="s">
        <v>32</v>
      </c>
      <c r="D6" s="226" t="s">
        <v>33</v>
      </c>
      <c r="E6" s="226" t="s">
        <v>34</v>
      </c>
      <c r="F6" s="226" t="s">
        <v>35</v>
      </c>
      <c r="G6" s="226" t="s">
        <v>36</v>
      </c>
      <c r="H6" s="228" t="s">
        <v>37</v>
      </c>
    </row>
    <row r="7" spans="1:10" ht="116.25" customHeight="1" thickBot="1" x14ac:dyDescent="0.4">
      <c r="A7" s="224"/>
      <c r="B7" s="227"/>
      <c r="C7" s="227"/>
      <c r="D7" s="227"/>
      <c r="E7" s="227"/>
      <c r="F7" s="227"/>
      <c r="G7" s="227"/>
      <c r="H7" s="229"/>
    </row>
    <row r="8" spans="1:10" ht="16.5" customHeight="1" x14ac:dyDescent="0.35">
      <c r="A8" s="54" t="s">
        <v>170</v>
      </c>
      <c r="B8" s="207" t="s">
        <v>38</v>
      </c>
      <c r="C8" s="57"/>
      <c r="D8" s="58"/>
      <c r="E8" s="58"/>
      <c r="F8" s="58"/>
      <c r="G8" s="58"/>
      <c r="H8" s="59">
        <f>SUM(C8:G8)</f>
        <v>0</v>
      </c>
    </row>
    <row r="9" spans="1:10" ht="45" customHeight="1" x14ac:dyDescent="0.35">
      <c r="A9" s="183" t="s">
        <v>171</v>
      </c>
      <c r="B9" s="208"/>
      <c r="C9" s="60">
        <v>2</v>
      </c>
      <c r="D9" s="61"/>
      <c r="E9" s="61"/>
      <c r="F9" s="61"/>
      <c r="G9" s="61"/>
      <c r="H9" s="62">
        <f>SUM(C9:G9)</f>
        <v>2</v>
      </c>
    </row>
    <row r="10" spans="1:10" ht="16.5" customHeight="1" x14ac:dyDescent="0.35">
      <c r="A10" s="55" t="s">
        <v>40</v>
      </c>
      <c r="B10" s="208"/>
      <c r="C10" s="60"/>
      <c r="D10" s="61"/>
      <c r="E10" s="61"/>
      <c r="F10" s="61"/>
      <c r="G10" s="61"/>
      <c r="H10" s="62">
        <v>0</v>
      </c>
    </row>
    <row r="11" spans="1:10" ht="15" customHeight="1" x14ac:dyDescent="0.35">
      <c r="A11" s="56" t="s">
        <v>42</v>
      </c>
      <c r="B11" s="208"/>
      <c r="C11" s="60">
        <v>1.5</v>
      </c>
      <c r="D11" s="61"/>
      <c r="E11" s="61"/>
      <c r="F11" s="61"/>
      <c r="G11" s="61"/>
      <c r="H11" s="62">
        <f>SUM(C11:G11)</f>
        <v>1.5</v>
      </c>
    </row>
    <row r="12" spans="1:10" ht="16.5" customHeight="1" x14ac:dyDescent="0.35">
      <c r="A12" s="69" t="s">
        <v>39</v>
      </c>
      <c r="B12" s="208"/>
      <c r="C12" s="203" t="s">
        <v>39</v>
      </c>
      <c r="D12" s="204"/>
      <c r="E12" s="204"/>
      <c r="F12" s="204"/>
      <c r="G12" s="204"/>
      <c r="H12" s="205"/>
    </row>
    <row r="13" spans="1:10" ht="16.5" customHeight="1" x14ac:dyDescent="0.35">
      <c r="A13" s="55" t="s">
        <v>43</v>
      </c>
      <c r="B13" s="208"/>
      <c r="C13" s="60"/>
      <c r="D13" s="61"/>
      <c r="E13" s="61"/>
      <c r="F13" s="61"/>
      <c r="G13" s="61"/>
      <c r="H13" s="62">
        <f>SUM(C13:G13)</f>
        <v>0</v>
      </c>
    </row>
    <row r="14" spans="1:10" ht="30" customHeight="1" thickBot="1" x14ac:dyDescent="0.4">
      <c r="A14" s="155" t="s">
        <v>44</v>
      </c>
      <c r="B14" s="208"/>
      <c r="C14" s="60">
        <v>1.5</v>
      </c>
      <c r="D14" s="61"/>
      <c r="E14" s="61"/>
      <c r="F14" s="61"/>
      <c r="G14" s="61"/>
      <c r="H14" s="62">
        <f t="shared" ref="H14:H16" si="0">SUM(C14:G14)</f>
        <v>1.5</v>
      </c>
    </row>
    <row r="15" spans="1:10" ht="16.5" customHeight="1" x14ac:dyDescent="0.35">
      <c r="A15" s="55" t="s">
        <v>196</v>
      </c>
      <c r="B15" s="208"/>
      <c r="C15" s="60"/>
      <c r="D15" s="61"/>
      <c r="E15" s="61"/>
      <c r="F15" s="61"/>
      <c r="G15" s="61"/>
      <c r="H15" s="62">
        <f t="shared" si="0"/>
        <v>0</v>
      </c>
    </row>
    <row r="16" spans="1:10" ht="44.5" customHeight="1" thickBot="1" x14ac:dyDescent="0.4">
      <c r="A16" s="155" t="s">
        <v>172</v>
      </c>
      <c r="B16" s="209"/>
      <c r="C16" s="66">
        <v>2</v>
      </c>
      <c r="D16" s="67"/>
      <c r="E16" s="67"/>
      <c r="F16" s="67"/>
      <c r="G16" s="67"/>
      <c r="H16" s="62">
        <f t="shared" si="0"/>
        <v>2</v>
      </c>
    </row>
    <row r="17" spans="1:8" ht="16.5" customHeight="1" x14ac:dyDescent="0.35">
      <c r="A17" s="154" t="s">
        <v>173</v>
      </c>
      <c r="B17" s="200" t="s">
        <v>41</v>
      </c>
      <c r="C17" s="85"/>
      <c r="D17" s="86"/>
      <c r="E17" s="86"/>
      <c r="F17" s="86"/>
      <c r="G17" s="86"/>
      <c r="H17" s="70">
        <f>SUM(C17:G17)</f>
        <v>0</v>
      </c>
    </row>
    <row r="18" spans="1:8" ht="45" customHeight="1" thickBot="1" x14ac:dyDescent="0.4">
      <c r="A18" s="168" t="s">
        <v>174</v>
      </c>
      <c r="B18" s="201"/>
      <c r="C18" s="72">
        <v>2</v>
      </c>
      <c r="D18" s="73"/>
      <c r="E18" s="73"/>
      <c r="F18" s="73"/>
      <c r="G18" s="73"/>
      <c r="H18" s="71">
        <f>SUM(C18:G18)</f>
        <v>2</v>
      </c>
    </row>
    <row r="19" spans="1:8" ht="16.5" customHeight="1" x14ac:dyDescent="0.35">
      <c r="A19" s="25" t="s">
        <v>47</v>
      </c>
      <c r="B19" s="201"/>
      <c r="C19" s="72"/>
      <c r="D19" s="73"/>
      <c r="E19" s="73"/>
      <c r="F19" s="73"/>
      <c r="G19" s="73"/>
      <c r="H19" s="71">
        <v>0</v>
      </c>
    </row>
    <row r="20" spans="1:8" ht="30" customHeight="1" x14ac:dyDescent="0.35">
      <c r="A20" s="156" t="s">
        <v>49</v>
      </c>
      <c r="B20" s="201"/>
      <c r="C20" s="72">
        <v>1.5</v>
      </c>
      <c r="D20" s="73"/>
      <c r="E20" s="73"/>
      <c r="F20" s="73"/>
      <c r="G20" s="73"/>
      <c r="H20" s="71">
        <f>SUM(C20:G20)</f>
        <v>1.5</v>
      </c>
    </row>
    <row r="21" spans="1:8" ht="16.5" customHeight="1" x14ac:dyDescent="0.35">
      <c r="A21" s="69" t="s">
        <v>39</v>
      </c>
      <c r="B21" s="201"/>
      <c r="C21" s="203" t="s">
        <v>39</v>
      </c>
      <c r="D21" s="204"/>
      <c r="E21" s="204"/>
      <c r="F21" s="204"/>
      <c r="G21" s="204"/>
      <c r="H21" s="205"/>
    </row>
    <row r="22" spans="1:8" ht="16.5" customHeight="1" x14ac:dyDescent="0.35">
      <c r="A22" s="25" t="s">
        <v>175</v>
      </c>
      <c r="B22" s="201"/>
      <c r="C22" s="72"/>
      <c r="D22" s="73"/>
      <c r="E22" s="73"/>
      <c r="F22" s="73"/>
      <c r="G22" s="73"/>
      <c r="H22" s="71">
        <f>SUM(C22:G22)</f>
        <v>0</v>
      </c>
    </row>
    <row r="23" spans="1:8" ht="30" customHeight="1" x14ac:dyDescent="0.35">
      <c r="A23" s="156" t="s">
        <v>176</v>
      </c>
      <c r="B23" s="201"/>
      <c r="C23" s="148">
        <v>1.5</v>
      </c>
      <c r="D23" s="149"/>
      <c r="E23" s="149"/>
      <c r="F23" s="149"/>
      <c r="G23" s="149"/>
      <c r="H23" s="71">
        <f t="shared" ref="H23:H29" si="1">SUM(C23:G23)</f>
        <v>1.5</v>
      </c>
    </row>
    <row r="24" spans="1:8" ht="16.5" customHeight="1" x14ac:dyDescent="0.35">
      <c r="A24" s="154" t="s">
        <v>177</v>
      </c>
      <c r="B24" s="201"/>
      <c r="C24" s="148"/>
      <c r="D24" s="149"/>
      <c r="E24" s="149"/>
      <c r="F24" s="149"/>
      <c r="G24" s="149"/>
      <c r="H24" s="71">
        <f t="shared" si="1"/>
        <v>0</v>
      </c>
    </row>
    <row r="25" spans="1:8" s="150" customFormat="1" ht="16.899999999999999" customHeight="1" thickBot="1" x14ac:dyDescent="0.4">
      <c r="A25" s="168" t="s">
        <v>46</v>
      </c>
      <c r="B25" s="202"/>
      <c r="C25" s="74"/>
      <c r="D25" s="75"/>
      <c r="E25" s="75"/>
      <c r="F25" s="75">
        <v>0.5</v>
      </c>
      <c r="G25" s="75">
        <v>1.5</v>
      </c>
      <c r="H25" s="76">
        <f t="shared" si="1"/>
        <v>2</v>
      </c>
    </row>
    <row r="26" spans="1:8" ht="16.5" customHeight="1" x14ac:dyDescent="0.35">
      <c r="A26" s="147"/>
      <c r="B26" s="206" t="s">
        <v>45</v>
      </c>
      <c r="C26" s="63"/>
      <c r="D26" s="64"/>
      <c r="E26" s="64"/>
      <c r="F26" s="64"/>
      <c r="G26" s="64"/>
      <c r="H26" s="87">
        <f t="shared" si="1"/>
        <v>0</v>
      </c>
    </row>
    <row r="27" spans="1:8" s="150" customFormat="1" ht="33" customHeight="1" x14ac:dyDescent="0.35">
      <c r="A27" s="146"/>
      <c r="B27" s="207"/>
      <c r="C27" s="63">
        <v>0</v>
      </c>
      <c r="D27" s="64"/>
      <c r="E27" s="64"/>
      <c r="F27" s="64"/>
      <c r="G27" s="64"/>
      <c r="H27" s="71">
        <f t="shared" si="1"/>
        <v>0</v>
      </c>
    </row>
    <row r="28" spans="1:8" ht="16.5" customHeight="1" x14ac:dyDescent="0.35">
      <c r="A28" s="55"/>
      <c r="B28" s="207"/>
      <c r="C28" s="63"/>
      <c r="D28" s="64"/>
      <c r="E28" s="64"/>
      <c r="F28" s="64"/>
      <c r="G28" s="64"/>
      <c r="H28" s="71">
        <f t="shared" si="1"/>
        <v>0</v>
      </c>
    </row>
    <row r="29" spans="1:8" ht="33" customHeight="1" x14ac:dyDescent="0.35">
      <c r="A29" s="146"/>
      <c r="B29" s="208"/>
      <c r="C29" s="63">
        <v>0</v>
      </c>
      <c r="D29" s="64"/>
      <c r="E29" s="64"/>
      <c r="F29" s="64"/>
      <c r="G29" s="64"/>
      <c r="H29" s="71">
        <f t="shared" si="1"/>
        <v>0</v>
      </c>
    </row>
    <row r="30" spans="1:8" ht="16.5" customHeight="1" x14ac:dyDescent="0.35">
      <c r="A30" s="69" t="s">
        <v>39</v>
      </c>
      <c r="B30" s="208"/>
      <c r="C30" s="203" t="s">
        <v>39</v>
      </c>
      <c r="D30" s="204"/>
      <c r="E30" s="204"/>
      <c r="F30" s="204"/>
      <c r="G30" s="204"/>
      <c r="H30" s="205"/>
    </row>
    <row r="31" spans="1:8" ht="16.5" customHeight="1" x14ac:dyDescent="0.35">
      <c r="A31" s="65"/>
      <c r="B31" s="208"/>
      <c r="C31" s="60"/>
      <c r="D31" s="61"/>
      <c r="E31" s="61"/>
      <c r="F31" s="61"/>
      <c r="G31" s="61"/>
      <c r="H31" s="62">
        <f>SUM(C31:G31)</f>
        <v>0</v>
      </c>
    </row>
    <row r="32" spans="1:8" ht="16.5" customHeight="1" x14ac:dyDescent="0.35">
      <c r="A32" s="146"/>
      <c r="B32" s="208"/>
      <c r="C32" s="152">
        <v>0</v>
      </c>
      <c r="D32" s="153"/>
      <c r="E32" s="153"/>
      <c r="F32" s="153"/>
      <c r="G32" s="153"/>
      <c r="H32" s="62">
        <f t="shared" ref="H32:H38" si="2">SUM(C32:G32)</f>
        <v>0</v>
      </c>
    </row>
    <row r="33" spans="1:8" ht="16.5" customHeight="1" x14ac:dyDescent="0.35">
      <c r="A33" s="65"/>
      <c r="B33" s="208"/>
      <c r="C33" s="152"/>
      <c r="D33" s="153"/>
      <c r="E33" s="153"/>
      <c r="F33" s="153"/>
      <c r="G33" s="153"/>
      <c r="H33" s="62">
        <f t="shared" si="2"/>
        <v>0</v>
      </c>
    </row>
    <row r="34" spans="1:8" ht="16.5" customHeight="1" thickBot="1" x14ac:dyDescent="0.4">
      <c r="A34" s="155"/>
      <c r="B34" s="209"/>
      <c r="C34" s="66">
        <v>0</v>
      </c>
      <c r="D34" s="67"/>
      <c r="E34" s="67"/>
      <c r="F34" s="67"/>
      <c r="G34" s="67"/>
      <c r="H34" s="68">
        <f t="shared" si="2"/>
        <v>0</v>
      </c>
    </row>
    <row r="35" spans="1:8" ht="16.5" customHeight="1" x14ac:dyDescent="0.35">
      <c r="A35" s="25"/>
      <c r="B35" s="210" t="s">
        <v>48</v>
      </c>
      <c r="C35" s="20"/>
      <c r="D35" s="21"/>
      <c r="E35" s="21"/>
      <c r="F35" s="21"/>
      <c r="G35" s="21"/>
      <c r="H35" s="151">
        <f t="shared" si="2"/>
        <v>0</v>
      </c>
    </row>
    <row r="36" spans="1:8" ht="33" customHeight="1" x14ac:dyDescent="0.35">
      <c r="A36" s="156"/>
      <c r="B36" s="211"/>
      <c r="C36" s="20">
        <v>0</v>
      </c>
      <c r="D36" s="21"/>
      <c r="E36" s="21"/>
      <c r="F36" s="21"/>
      <c r="G36" s="21"/>
      <c r="H36" s="62">
        <f t="shared" si="2"/>
        <v>0</v>
      </c>
    </row>
    <row r="37" spans="1:8" ht="16.5" customHeight="1" x14ac:dyDescent="0.35">
      <c r="A37" s="25"/>
      <c r="B37" s="211"/>
      <c r="C37" s="20"/>
      <c r="D37" s="21"/>
      <c r="E37" s="21"/>
      <c r="F37" s="21"/>
      <c r="G37" s="21"/>
      <c r="H37" s="62">
        <f t="shared" si="2"/>
        <v>0</v>
      </c>
    </row>
    <row r="38" spans="1:8" ht="16.5" customHeight="1" x14ac:dyDescent="0.35">
      <c r="A38" s="22"/>
      <c r="B38" s="212"/>
      <c r="C38" s="23">
        <v>0</v>
      </c>
      <c r="D38" s="24"/>
      <c r="E38" s="24"/>
      <c r="F38" s="24"/>
      <c r="G38" s="24"/>
      <c r="H38" s="62">
        <f t="shared" si="2"/>
        <v>0</v>
      </c>
    </row>
    <row r="39" spans="1:8" ht="16.5" customHeight="1" x14ac:dyDescent="0.35">
      <c r="A39" s="77" t="s">
        <v>39</v>
      </c>
      <c r="B39" s="212"/>
      <c r="C39" s="203" t="s">
        <v>39</v>
      </c>
      <c r="D39" s="204"/>
      <c r="E39" s="204"/>
      <c r="F39" s="204"/>
      <c r="G39" s="204"/>
      <c r="H39" s="205"/>
    </row>
    <row r="40" spans="1:8" ht="16.5" customHeight="1" x14ac:dyDescent="0.35">
      <c r="A40" s="25"/>
      <c r="B40" s="212"/>
      <c r="C40" s="23"/>
      <c r="D40" s="24"/>
      <c r="E40" s="24"/>
      <c r="F40" s="24"/>
      <c r="G40" s="24"/>
      <c r="H40" s="71">
        <f>SUM(C40:G40)</f>
        <v>0</v>
      </c>
    </row>
    <row r="41" spans="1:8" ht="33" customHeight="1" x14ac:dyDescent="0.35">
      <c r="A41" s="156"/>
      <c r="B41" s="212"/>
      <c r="C41" s="157">
        <v>0</v>
      </c>
      <c r="D41" s="158"/>
      <c r="E41" s="158"/>
      <c r="F41" s="158"/>
      <c r="G41" s="158"/>
      <c r="H41" s="71">
        <f t="shared" ref="H41:H43" si="3">SUM(C41:G41)</f>
        <v>0</v>
      </c>
    </row>
    <row r="42" spans="1:8" ht="16.5" customHeight="1" x14ac:dyDescent="0.35">
      <c r="A42" s="25"/>
      <c r="B42" s="212"/>
      <c r="C42" s="157"/>
      <c r="D42" s="158"/>
      <c r="E42" s="158"/>
      <c r="F42" s="158"/>
      <c r="G42" s="158"/>
      <c r="H42" s="71">
        <f t="shared" si="3"/>
        <v>0</v>
      </c>
    </row>
    <row r="43" spans="1:8" ht="16.5" customHeight="1" thickBot="1" x14ac:dyDescent="0.4">
      <c r="A43" s="161"/>
      <c r="B43" s="213"/>
      <c r="C43" s="83">
        <v>0</v>
      </c>
      <c r="D43" s="84"/>
      <c r="E43" s="84"/>
      <c r="F43" s="84"/>
      <c r="G43" s="84"/>
      <c r="H43" s="71">
        <f t="shared" si="3"/>
        <v>0</v>
      </c>
    </row>
    <row r="44" spans="1:8" ht="16.5" customHeight="1" x14ac:dyDescent="0.35">
      <c r="A44" s="147"/>
      <c r="B44" s="214" t="s">
        <v>50</v>
      </c>
      <c r="C44" s="81"/>
      <c r="D44" s="82"/>
      <c r="E44" s="82"/>
      <c r="F44" s="82"/>
      <c r="G44" s="82"/>
      <c r="H44" s="59">
        <f>SUM(C44:G44)</f>
        <v>0</v>
      </c>
    </row>
    <row r="45" spans="1:8" ht="33" customHeight="1" x14ac:dyDescent="0.35">
      <c r="A45" s="146"/>
      <c r="B45" s="215"/>
      <c r="C45" s="159">
        <v>0</v>
      </c>
      <c r="D45" s="160"/>
      <c r="E45" s="160"/>
      <c r="F45" s="160"/>
      <c r="G45" s="160"/>
      <c r="H45" s="62">
        <f t="shared" ref="H45:H47" si="4">SUM(C45:G45)</f>
        <v>0</v>
      </c>
    </row>
    <row r="46" spans="1:8" ht="16.5" customHeight="1" x14ac:dyDescent="0.35">
      <c r="A46" s="55"/>
      <c r="B46" s="215"/>
      <c r="C46" s="159"/>
      <c r="D46" s="160"/>
      <c r="E46" s="160"/>
      <c r="F46" s="160"/>
      <c r="G46" s="160"/>
      <c r="H46" s="62">
        <f t="shared" si="4"/>
        <v>0</v>
      </c>
    </row>
    <row r="47" spans="1:8" ht="16.5" customHeight="1" x14ac:dyDescent="0.35">
      <c r="A47" s="146"/>
      <c r="B47" s="215"/>
      <c r="C47" s="159">
        <v>0</v>
      </c>
      <c r="D47" s="160"/>
      <c r="E47" s="160"/>
      <c r="F47" s="160"/>
      <c r="G47" s="160"/>
      <c r="H47" s="151">
        <f t="shared" si="4"/>
        <v>0</v>
      </c>
    </row>
    <row r="48" spans="1:8" ht="16.5" customHeight="1" x14ac:dyDescent="0.35">
      <c r="A48" s="77" t="s">
        <v>39</v>
      </c>
      <c r="B48" s="216"/>
      <c r="C48" s="203" t="s">
        <v>39</v>
      </c>
      <c r="D48" s="204"/>
      <c r="E48" s="204"/>
      <c r="F48" s="204"/>
      <c r="G48" s="204"/>
      <c r="H48" s="205"/>
    </row>
    <row r="49" spans="1:10" ht="16.5" customHeight="1" x14ac:dyDescent="0.35">
      <c r="A49" s="65"/>
      <c r="B49" s="217"/>
      <c r="C49" s="60"/>
      <c r="D49" s="61"/>
      <c r="E49" s="61"/>
      <c r="F49" s="61"/>
      <c r="G49" s="61"/>
      <c r="H49" s="62">
        <f>SUM(C49:G49)</f>
        <v>0</v>
      </c>
    </row>
    <row r="50" spans="1:10" ht="33" customHeight="1" x14ac:dyDescent="0.35">
      <c r="A50" s="146"/>
      <c r="B50" s="217"/>
      <c r="C50" s="152">
        <v>0</v>
      </c>
      <c r="D50" s="153"/>
      <c r="E50" s="153"/>
      <c r="F50" s="153"/>
      <c r="G50" s="153"/>
      <c r="H50" s="62">
        <f t="shared" ref="H50:H52" si="5">SUM(C50:G50)</f>
        <v>0</v>
      </c>
    </row>
    <row r="51" spans="1:10" ht="16.5" customHeight="1" x14ac:dyDescent="0.35">
      <c r="A51" s="65"/>
      <c r="B51" s="217"/>
      <c r="C51" s="152"/>
      <c r="D51" s="153"/>
      <c r="E51" s="153"/>
      <c r="F51" s="153"/>
      <c r="G51" s="153"/>
      <c r="H51" s="62">
        <f t="shared" si="5"/>
        <v>0</v>
      </c>
    </row>
    <row r="52" spans="1:10" ht="16.5" customHeight="1" thickBot="1" x14ac:dyDescent="0.4">
      <c r="A52" s="155"/>
      <c r="B52" s="218"/>
      <c r="C52" s="66">
        <v>0</v>
      </c>
      <c r="D52" s="67"/>
      <c r="E52" s="67"/>
      <c r="F52" s="67"/>
      <c r="G52" s="67"/>
      <c r="H52" s="62">
        <f t="shared" si="5"/>
        <v>0</v>
      </c>
    </row>
    <row r="53" spans="1:10" ht="16.5" customHeight="1" thickBot="1" x14ac:dyDescent="0.4"/>
    <row r="54" spans="1:10" ht="16.5" customHeight="1" thickBot="1" x14ac:dyDescent="0.4">
      <c r="B54" s="78" t="s">
        <v>51</v>
      </c>
      <c r="C54" s="79">
        <f>SUM(C8:C52)</f>
        <v>12</v>
      </c>
      <c r="D54" s="79">
        <f t="shared" ref="D54:G54" si="6">SUM(D8:D52)</f>
        <v>0</v>
      </c>
      <c r="E54" s="79">
        <v>0</v>
      </c>
      <c r="F54" s="79">
        <v>0.5</v>
      </c>
      <c r="G54" s="79">
        <f t="shared" si="6"/>
        <v>1.5</v>
      </c>
      <c r="H54" s="80">
        <f>SUM(H8:H11,H13:H16,H17:H20,H22:H25,H26:H29,H31:H34,H35:H38,H40:H43,H44:H47,H49:H52)</f>
        <v>14</v>
      </c>
    </row>
    <row r="55" spans="1:10" ht="16.5" customHeight="1" thickBot="1" x14ac:dyDescent="0.4">
      <c r="B55" s="26"/>
      <c r="C55" s="27"/>
      <c r="D55" s="27"/>
      <c r="E55" s="27"/>
      <c r="F55" s="27"/>
      <c r="G55" s="27"/>
      <c r="H55" s="27"/>
      <c r="J55" s="28"/>
    </row>
    <row r="56" spans="1:10" ht="16.5" customHeight="1" x14ac:dyDescent="0.35">
      <c r="B56" s="219" t="s">
        <v>52</v>
      </c>
      <c r="C56" s="219"/>
      <c r="D56" s="219"/>
      <c r="E56" s="219"/>
      <c r="F56" s="219"/>
      <c r="G56" s="219"/>
      <c r="H56" s="29">
        <f>SUM(C54:G54)</f>
        <v>14</v>
      </c>
    </row>
    <row r="57" spans="1:10" ht="16.5" customHeight="1" x14ac:dyDescent="0.35"/>
    <row r="58" spans="1:10" ht="16.5" customHeight="1" x14ac:dyDescent="0.35"/>
    <row r="59" spans="1:10" ht="16.5" customHeight="1" x14ac:dyDescent="0.35"/>
    <row r="60" spans="1:10" ht="16.5" customHeight="1" x14ac:dyDescent="0.35"/>
    <row r="61" spans="1:10" ht="16.5" customHeight="1" x14ac:dyDescent="0.35"/>
    <row r="62" spans="1:10" ht="16.5" customHeight="1" x14ac:dyDescent="0.35"/>
    <row r="63" spans="1:10" ht="16.5" customHeight="1" x14ac:dyDescent="0.35"/>
    <row r="64" spans="1:10" ht="16.5" customHeight="1" x14ac:dyDescent="0.35"/>
    <row r="65" ht="16.5" customHeight="1" x14ac:dyDescent="0.35"/>
    <row r="66" ht="16.5" customHeight="1" x14ac:dyDescent="0.35"/>
    <row r="67" ht="16.5" customHeight="1" x14ac:dyDescent="0.35"/>
    <row r="68" ht="16.5" customHeight="1" x14ac:dyDescent="0.35"/>
    <row r="69" ht="16.5" customHeight="1" x14ac:dyDescent="0.35"/>
    <row r="70" ht="16.5" customHeight="1" x14ac:dyDescent="0.35"/>
    <row r="71" ht="16.5" customHeight="1" x14ac:dyDescent="0.35"/>
    <row r="72" ht="16.5" customHeight="1" x14ac:dyDescent="0.35"/>
    <row r="73" ht="16.5" customHeight="1" x14ac:dyDescent="0.35"/>
    <row r="74" ht="16.5" customHeight="1" x14ac:dyDescent="0.35"/>
    <row r="75" ht="16.5" customHeight="1" x14ac:dyDescent="0.35"/>
    <row r="76" ht="16.5" customHeight="1" x14ac:dyDescent="0.35"/>
    <row r="77" ht="16.5" customHeight="1" x14ac:dyDescent="0.35"/>
    <row r="78" ht="16.5" customHeight="1" x14ac:dyDescent="0.35"/>
    <row r="79" ht="16.5" customHeight="1" x14ac:dyDescent="0.35"/>
    <row r="80" ht="16.5" customHeight="1" x14ac:dyDescent="0.35"/>
    <row r="81" ht="16.5" customHeight="1" x14ac:dyDescent="0.35"/>
    <row r="82" ht="16.5" customHeight="1" x14ac:dyDescent="0.35"/>
    <row r="83" ht="16.5" customHeight="1" x14ac:dyDescent="0.35"/>
    <row r="84" ht="16.5" customHeight="1" x14ac:dyDescent="0.35"/>
    <row r="85" ht="16.5" customHeight="1" x14ac:dyDescent="0.35"/>
    <row r="86" ht="16.5" customHeight="1" x14ac:dyDescent="0.35"/>
    <row r="87" ht="16.5" customHeight="1" x14ac:dyDescent="0.35"/>
    <row r="88" ht="16.5" customHeight="1" x14ac:dyDescent="0.35"/>
    <row r="89" ht="16.5" customHeight="1" x14ac:dyDescent="0.35"/>
    <row r="90" ht="16.5" customHeight="1" x14ac:dyDescent="0.35"/>
    <row r="91" ht="16.5" customHeight="1" x14ac:dyDescent="0.35"/>
    <row r="92" ht="16.5" customHeight="1" x14ac:dyDescent="0.35"/>
    <row r="93" ht="16.5" customHeight="1" x14ac:dyDescent="0.35"/>
    <row r="94" ht="16.5" customHeight="1" x14ac:dyDescent="0.35"/>
    <row r="95" ht="16.5" customHeight="1" x14ac:dyDescent="0.35"/>
    <row r="96" ht="16.5" customHeight="1" x14ac:dyDescent="0.35"/>
    <row r="97" ht="16.5" customHeight="1" x14ac:dyDescent="0.35"/>
    <row r="98" ht="16.5" customHeight="1" x14ac:dyDescent="0.35"/>
    <row r="99" ht="16.5" customHeight="1" x14ac:dyDescent="0.35"/>
    <row r="100" ht="16.5" customHeight="1" x14ac:dyDescent="0.35"/>
    <row r="101" ht="16.5" customHeight="1" x14ac:dyDescent="0.35"/>
    <row r="102" ht="16.5" customHeight="1" x14ac:dyDescent="0.35"/>
    <row r="103" ht="16.5" customHeight="1" x14ac:dyDescent="0.35"/>
    <row r="104" ht="16.5" customHeight="1" x14ac:dyDescent="0.35"/>
    <row r="105" ht="16.5" customHeight="1" x14ac:dyDescent="0.35"/>
    <row r="106" ht="16.5" customHeight="1" x14ac:dyDescent="0.35"/>
  </sheetData>
  <mergeCells count="24">
    <mergeCell ref="B56:G56"/>
    <mergeCell ref="A1:H1"/>
    <mergeCell ref="A2:H2"/>
    <mergeCell ref="A3:H3"/>
    <mergeCell ref="A4:H4"/>
    <mergeCell ref="A5:A7"/>
    <mergeCell ref="B5:H5"/>
    <mergeCell ref="B6:B7"/>
    <mergeCell ref="C6:C7"/>
    <mergeCell ref="D6:D7"/>
    <mergeCell ref="E6:E7"/>
    <mergeCell ref="F6:F7"/>
    <mergeCell ref="G6:G7"/>
    <mergeCell ref="H6:H7"/>
    <mergeCell ref="B8:B16"/>
    <mergeCell ref="C12:H12"/>
    <mergeCell ref="B17:B25"/>
    <mergeCell ref="C21:H21"/>
    <mergeCell ref="B26:B34"/>
    <mergeCell ref="B35:B43"/>
    <mergeCell ref="B44:B52"/>
    <mergeCell ref="C48:H48"/>
    <mergeCell ref="C30:H30"/>
    <mergeCell ref="C39:H39"/>
  </mergeCells>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12E7-B28A-4C49-9561-4A78B7BF9C04}">
  <dimension ref="A1:H52"/>
  <sheetViews>
    <sheetView zoomScale="70" zoomScaleNormal="70" workbookViewId="0">
      <selection activeCell="A34" sqref="A34:F34"/>
    </sheetView>
  </sheetViews>
  <sheetFormatPr defaultColWidth="9.1796875" defaultRowHeight="14.5" x14ac:dyDescent="0.35"/>
  <cols>
    <col min="1" max="1" width="45.7265625" style="88" customWidth="1"/>
    <col min="2" max="2" width="65.7265625" style="88" customWidth="1"/>
    <col min="3" max="5" width="25.7265625" style="88" customWidth="1"/>
    <col min="6" max="6" width="25.7265625" style="141" customWidth="1"/>
    <col min="7" max="7" width="25.7265625" style="88" customWidth="1"/>
    <col min="8" max="16384" width="9.1796875" style="88"/>
  </cols>
  <sheetData>
    <row r="1" spans="1:8" ht="45" customHeight="1" thickBot="1" x14ac:dyDescent="0.4">
      <c r="A1" s="242" t="s">
        <v>0</v>
      </c>
      <c r="B1" s="243"/>
      <c r="C1" s="243"/>
      <c r="D1" s="243"/>
      <c r="E1" s="243"/>
      <c r="F1" s="244"/>
    </row>
    <row r="2" spans="1:8" ht="30" customHeight="1" thickBot="1" x14ac:dyDescent="0.4">
      <c r="A2" s="245" t="s">
        <v>53</v>
      </c>
      <c r="B2" s="246"/>
      <c r="C2" s="246"/>
      <c r="D2" s="246"/>
      <c r="E2" s="246"/>
      <c r="F2" s="247"/>
    </row>
    <row r="3" spans="1:8" ht="19" customHeight="1" x14ac:dyDescent="0.35">
      <c r="A3" s="89" t="s">
        <v>54</v>
      </c>
      <c r="B3" s="90" t="s">
        <v>55</v>
      </c>
      <c r="C3" s="91" t="s">
        <v>56</v>
      </c>
      <c r="D3" s="92" t="s">
        <v>57</v>
      </c>
      <c r="E3" s="92" t="s">
        <v>58</v>
      </c>
      <c r="F3" s="93" t="s">
        <v>59</v>
      </c>
    </row>
    <row r="4" spans="1:8" ht="31.5" thickBot="1" x14ac:dyDescent="0.4">
      <c r="A4" s="94" t="s">
        <v>60</v>
      </c>
      <c r="B4" s="95"/>
      <c r="C4" s="96"/>
      <c r="D4" s="97"/>
      <c r="E4" s="98" t="s">
        <v>61</v>
      </c>
      <c r="F4" s="99"/>
    </row>
    <row r="5" spans="1:8" ht="16.75" customHeight="1" x14ac:dyDescent="0.35">
      <c r="A5" s="100" t="s">
        <v>62</v>
      </c>
      <c r="B5" s="101"/>
      <c r="C5" s="101"/>
      <c r="D5" s="102"/>
      <c r="E5" s="102"/>
      <c r="F5" s="103"/>
    </row>
    <row r="6" spans="1:8" ht="16.75" customHeight="1" x14ac:dyDescent="0.35">
      <c r="A6" s="104" t="s">
        <v>63</v>
      </c>
      <c r="B6" s="105"/>
      <c r="C6" s="106" t="s">
        <v>64</v>
      </c>
      <c r="D6" s="107">
        <v>0.2</v>
      </c>
      <c r="E6" s="108" t="s">
        <v>65</v>
      </c>
      <c r="F6" s="109" t="s">
        <v>66</v>
      </c>
    </row>
    <row r="7" spans="1:8" ht="16.75" customHeight="1" x14ac:dyDescent="0.35">
      <c r="A7" s="104" t="s">
        <v>67</v>
      </c>
      <c r="B7" s="105"/>
      <c r="C7" s="106" t="s">
        <v>68</v>
      </c>
      <c r="D7" s="107">
        <v>0.05</v>
      </c>
      <c r="E7" s="110" t="s">
        <v>65</v>
      </c>
      <c r="F7" s="111"/>
    </row>
    <row r="8" spans="1:8" ht="16.75" customHeight="1" x14ac:dyDescent="0.35">
      <c r="A8" s="112" t="s">
        <v>69</v>
      </c>
      <c r="B8" s="106"/>
      <c r="C8" s="106" t="s">
        <v>64</v>
      </c>
      <c r="D8" s="107">
        <v>0.05</v>
      </c>
      <c r="E8" s="110" t="s">
        <v>65</v>
      </c>
      <c r="F8" s="113"/>
    </row>
    <row r="9" spans="1:8" ht="16.75" customHeight="1" x14ac:dyDescent="0.35">
      <c r="A9" s="104" t="s">
        <v>70</v>
      </c>
      <c r="B9" s="105"/>
      <c r="C9" s="106" t="s">
        <v>64</v>
      </c>
      <c r="D9" s="107">
        <v>0.05</v>
      </c>
      <c r="E9" s="110" t="s">
        <v>71</v>
      </c>
      <c r="F9" s="111"/>
    </row>
    <row r="10" spans="1:8" ht="16.75" customHeight="1" x14ac:dyDescent="0.35">
      <c r="A10" s="104" t="s">
        <v>72</v>
      </c>
      <c r="B10" s="105"/>
      <c r="C10" s="106" t="s">
        <v>64</v>
      </c>
      <c r="D10" s="107">
        <v>0.1</v>
      </c>
      <c r="E10" s="110" t="s">
        <v>73</v>
      </c>
      <c r="F10" s="111"/>
    </row>
    <row r="11" spans="1:8" ht="16.75" customHeight="1" x14ac:dyDescent="0.35">
      <c r="A11" s="104" t="s">
        <v>74</v>
      </c>
      <c r="B11" s="105"/>
      <c r="C11" s="106" t="s">
        <v>68</v>
      </c>
      <c r="D11" s="107">
        <v>0.05</v>
      </c>
      <c r="E11" s="110" t="s">
        <v>73</v>
      </c>
      <c r="F11" s="111"/>
    </row>
    <row r="12" spans="1:8" ht="16.75" customHeight="1" x14ac:dyDescent="0.35">
      <c r="A12" s="114" t="s">
        <v>75</v>
      </c>
      <c r="B12" s="105"/>
      <c r="C12" s="106" t="s">
        <v>64</v>
      </c>
      <c r="D12" s="115">
        <v>0.1</v>
      </c>
      <c r="E12" s="116" t="s">
        <v>76</v>
      </c>
      <c r="F12" s="117"/>
    </row>
    <row r="13" spans="1:8" ht="16.75" customHeight="1" thickBot="1" x14ac:dyDescent="0.4">
      <c r="A13" s="118" t="s">
        <v>77</v>
      </c>
      <c r="B13" s="119"/>
      <c r="C13" s="120" t="s">
        <v>68</v>
      </c>
      <c r="D13" s="121">
        <v>0.4</v>
      </c>
      <c r="E13" s="122" t="s">
        <v>78</v>
      </c>
      <c r="F13" s="123"/>
    </row>
    <row r="14" spans="1:8" ht="30" customHeight="1" thickBot="1" x14ac:dyDescent="0.4">
      <c r="A14" s="248" t="s">
        <v>79</v>
      </c>
      <c r="B14" s="249"/>
      <c r="C14" s="249"/>
      <c r="D14" s="249"/>
      <c r="E14" s="249"/>
      <c r="F14" s="250"/>
      <c r="G14" s="124"/>
      <c r="H14" s="124"/>
    </row>
    <row r="15" spans="1:8" ht="16.75" customHeight="1" x14ac:dyDescent="0.35">
      <c r="A15" s="89" t="s">
        <v>54</v>
      </c>
      <c r="B15" s="90"/>
      <c r="C15" s="91" t="s">
        <v>56</v>
      </c>
      <c r="D15" s="92" t="s">
        <v>57</v>
      </c>
      <c r="E15" s="92" t="s">
        <v>58</v>
      </c>
      <c r="F15" s="93" t="s">
        <v>59</v>
      </c>
    </row>
    <row r="16" spans="1:8" ht="31.5" thickBot="1" x14ac:dyDescent="0.4">
      <c r="A16" s="125"/>
      <c r="B16" s="126"/>
      <c r="C16" s="96"/>
      <c r="D16" s="127"/>
      <c r="E16" s="128" t="s">
        <v>61</v>
      </c>
      <c r="F16" s="129"/>
    </row>
    <row r="17" spans="1:6" ht="16.75" customHeight="1" thickBot="1" x14ac:dyDescent="0.4">
      <c r="A17" s="185" t="s">
        <v>178</v>
      </c>
      <c r="B17" s="167" t="s">
        <v>80</v>
      </c>
      <c r="C17" s="130" t="s">
        <v>68</v>
      </c>
      <c r="D17" s="131">
        <v>0.6</v>
      </c>
      <c r="E17" s="184" t="s">
        <v>41</v>
      </c>
      <c r="F17" s="132"/>
    </row>
    <row r="18" spans="1:6" ht="16.75" customHeight="1" thickBot="1" x14ac:dyDescent="0.4">
      <c r="A18" s="185" t="s">
        <v>81</v>
      </c>
      <c r="B18" s="186" t="s">
        <v>179</v>
      </c>
      <c r="C18" s="169" t="s">
        <v>64</v>
      </c>
      <c r="D18" s="131">
        <v>0.3</v>
      </c>
      <c r="E18" s="184" t="s">
        <v>41</v>
      </c>
      <c r="F18" s="132"/>
    </row>
    <row r="19" spans="1:6" ht="16.75" customHeight="1" thickBot="1" x14ac:dyDescent="0.4">
      <c r="A19" s="187" t="s">
        <v>191</v>
      </c>
      <c r="B19" s="188" t="s">
        <v>192</v>
      </c>
      <c r="C19" s="130" t="s">
        <v>64</v>
      </c>
      <c r="D19" s="131">
        <v>0.1</v>
      </c>
      <c r="E19" s="189" t="s">
        <v>193</v>
      </c>
      <c r="F19" s="132"/>
    </row>
    <row r="20" spans="1:6" ht="16.75" customHeight="1" thickBot="1" x14ac:dyDescent="0.4">
      <c r="A20" s="162"/>
      <c r="B20" s="167"/>
      <c r="C20" s="163"/>
      <c r="D20" s="164"/>
      <c r="E20" s="165"/>
      <c r="F20" s="138"/>
    </row>
    <row r="21" spans="1:6" ht="16.75" customHeight="1" thickBot="1" x14ac:dyDescent="0.4">
      <c r="A21" s="133"/>
      <c r="B21" s="134"/>
      <c r="C21" s="135"/>
      <c r="D21" s="136"/>
      <c r="E21" s="137"/>
      <c r="F21" s="138"/>
    </row>
    <row r="22" spans="1:6" ht="16.75" customHeight="1" thickBot="1" x14ac:dyDescent="0.4">
      <c r="A22" s="133"/>
      <c r="B22" s="134"/>
      <c r="C22" s="135"/>
      <c r="D22" s="136"/>
      <c r="E22" s="137"/>
      <c r="F22" s="138"/>
    </row>
    <row r="23" spans="1:6" ht="16.75" customHeight="1" thickBot="1" x14ac:dyDescent="0.4">
      <c r="A23" s="133"/>
      <c r="B23" s="134"/>
      <c r="C23" s="135"/>
      <c r="D23" s="136"/>
      <c r="E23" s="137"/>
      <c r="F23" s="138"/>
    </row>
    <row r="24" spans="1:6" ht="16.75" customHeight="1" thickBot="1" x14ac:dyDescent="0.4">
      <c r="A24" s="133"/>
      <c r="B24" s="134"/>
      <c r="C24" s="135"/>
      <c r="D24" s="136"/>
      <c r="E24" s="137"/>
      <c r="F24" s="138"/>
    </row>
    <row r="25" spans="1:6" ht="16.75" customHeight="1" thickBot="1" x14ac:dyDescent="0.4">
      <c r="A25" s="133"/>
      <c r="B25" s="134"/>
      <c r="C25" s="135"/>
      <c r="D25" s="136"/>
      <c r="E25" s="137"/>
      <c r="F25" s="138"/>
    </row>
    <row r="26" spans="1:6" ht="16.75" customHeight="1" thickBot="1" x14ac:dyDescent="0.4">
      <c r="A26" s="133"/>
      <c r="B26" s="134"/>
      <c r="C26" s="135"/>
      <c r="D26" s="136"/>
      <c r="E26" s="137"/>
      <c r="F26" s="138"/>
    </row>
    <row r="27" spans="1:6" ht="16.75" customHeight="1" x14ac:dyDescent="0.35">
      <c r="D27" s="251"/>
      <c r="E27" s="251"/>
      <c r="F27" s="251"/>
    </row>
    <row r="28" spans="1:6" ht="16.75" customHeight="1" x14ac:dyDescent="0.35">
      <c r="C28" s="139" t="s">
        <v>82</v>
      </c>
      <c r="D28" s="140">
        <f>SUMIF(C17:C26, "Individual", D17:D26)</f>
        <v>0.4</v>
      </c>
    </row>
    <row r="29" spans="1:6" ht="16.75" customHeight="1" thickBot="1" x14ac:dyDescent="0.4">
      <c r="C29" s="139" t="s">
        <v>83</v>
      </c>
      <c r="D29" s="140">
        <f>SUMIF(C17:C26, "Team", D17:D26)</f>
        <v>0.6</v>
      </c>
    </row>
    <row r="30" spans="1:6" ht="16.75" customHeight="1" thickBot="1" x14ac:dyDescent="0.4">
      <c r="B30" s="88" t="s">
        <v>84</v>
      </c>
      <c r="C30" s="142" t="s">
        <v>85</v>
      </c>
      <c r="D30" s="143">
        <f>SUM(D17:D26)</f>
        <v>0.99999999999999989</v>
      </c>
    </row>
    <row r="31" spans="1:6" ht="16.5" customHeight="1" x14ac:dyDescent="0.35"/>
    <row r="32" spans="1:6" ht="16.75" customHeight="1" x14ac:dyDescent="0.35"/>
    <row r="33" spans="1:7" s="170" customFormat="1" ht="16.75" customHeight="1" x14ac:dyDescent="0.45">
      <c r="A33" s="236" t="s">
        <v>189</v>
      </c>
      <c r="B33" s="237"/>
      <c r="C33" s="237"/>
      <c r="D33" s="237"/>
      <c r="E33" s="237"/>
      <c r="F33" s="238"/>
    </row>
    <row r="34" spans="1:7" ht="229.75" customHeight="1" x14ac:dyDescent="0.35">
      <c r="A34" s="233"/>
      <c r="B34" s="234"/>
      <c r="C34" s="234"/>
      <c r="D34" s="234"/>
      <c r="E34" s="234"/>
      <c r="F34" s="235"/>
    </row>
    <row r="35" spans="1:7" x14ac:dyDescent="0.35">
      <c r="A35" s="171"/>
      <c r="B35" s="172"/>
      <c r="C35" s="172"/>
      <c r="D35" s="172"/>
      <c r="E35" s="172"/>
      <c r="F35" s="172"/>
    </row>
    <row r="36" spans="1:7" ht="30" customHeight="1" x14ac:dyDescent="0.35">
      <c r="A36" s="230" t="s">
        <v>86</v>
      </c>
      <c r="B36" s="231"/>
      <c r="C36" s="231"/>
      <c r="D36" s="231"/>
      <c r="E36" s="231"/>
      <c r="F36" s="232"/>
    </row>
    <row r="37" spans="1:7" s="170" customFormat="1" ht="16.75" customHeight="1" x14ac:dyDescent="0.45">
      <c r="A37" s="236" t="s">
        <v>187</v>
      </c>
      <c r="B37" s="237"/>
      <c r="C37" s="237"/>
      <c r="D37" s="237"/>
      <c r="E37" s="237"/>
      <c r="F37" s="238"/>
    </row>
    <row r="38" spans="1:7" ht="229.75" customHeight="1" x14ac:dyDescent="0.35">
      <c r="A38" s="233" t="s">
        <v>190</v>
      </c>
      <c r="B38" s="239"/>
      <c r="C38" s="239"/>
      <c r="D38" s="239"/>
      <c r="E38" s="239"/>
      <c r="F38" s="240"/>
    </row>
    <row r="39" spans="1:7" ht="16.75" customHeight="1" x14ac:dyDescent="0.45">
      <c r="A39" s="173"/>
      <c r="B39" s="173"/>
    </row>
    <row r="40" spans="1:7" ht="16.75" customHeight="1" x14ac:dyDescent="0.45">
      <c r="A40" s="241" t="s">
        <v>188</v>
      </c>
      <c r="B40" s="241"/>
      <c r="C40" s="241"/>
      <c r="D40" s="241"/>
      <c r="E40" s="241"/>
      <c r="F40" s="241"/>
      <c r="G40" s="241"/>
    </row>
    <row r="41" spans="1:7" ht="16.75" customHeight="1" x14ac:dyDescent="0.35">
      <c r="A41" s="174" t="s">
        <v>87</v>
      </c>
      <c r="B41" s="174" t="s">
        <v>88</v>
      </c>
      <c r="C41" s="175" t="s">
        <v>89</v>
      </c>
      <c r="D41" s="175" t="s">
        <v>90</v>
      </c>
      <c r="E41" s="175" t="s">
        <v>91</v>
      </c>
      <c r="F41" s="175" t="s">
        <v>92</v>
      </c>
      <c r="G41" s="175" t="s">
        <v>93</v>
      </c>
    </row>
    <row r="42" spans="1:7" ht="72.5" x14ac:dyDescent="0.35">
      <c r="A42" s="176" t="s">
        <v>94</v>
      </c>
      <c r="B42" s="177">
        <v>0.15</v>
      </c>
      <c r="C42" s="178" t="s">
        <v>95</v>
      </c>
      <c r="D42" s="178" t="s">
        <v>96</v>
      </c>
      <c r="E42" s="178" t="s">
        <v>97</v>
      </c>
      <c r="F42" s="178" t="s">
        <v>98</v>
      </c>
      <c r="G42" s="178" t="s">
        <v>99</v>
      </c>
    </row>
    <row r="43" spans="1:7" ht="72.5" x14ac:dyDescent="0.35">
      <c r="A43" s="176" t="s">
        <v>100</v>
      </c>
      <c r="B43" s="177">
        <v>0.1</v>
      </c>
      <c r="C43" s="178" t="s">
        <v>101</v>
      </c>
      <c r="D43" s="178" t="s">
        <v>102</v>
      </c>
      <c r="E43" s="178" t="s">
        <v>103</v>
      </c>
      <c r="F43" s="178" t="s">
        <v>104</v>
      </c>
      <c r="G43" s="178" t="s">
        <v>105</v>
      </c>
    </row>
    <row r="44" spans="1:7" ht="72.5" x14ac:dyDescent="0.35">
      <c r="A44" s="179" t="s">
        <v>106</v>
      </c>
      <c r="B44" s="177">
        <v>0.15</v>
      </c>
      <c r="C44" s="178" t="s">
        <v>107</v>
      </c>
      <c r="D44" s="178" t="s">
        <v>108</v>
      </c>
      <c r="E44" s="178" t="s">
        <v>109</v>
      </c>
      <c r="F44" s="178" t="s">
        <v>110</v>
      </c>
      <c r="G44" s="178" t="s">
        <v>111</v>
      </c>
    </row>
    <row r="45" spans="1:7" ht="16.75" customHeight="1" x14ac:dyDescent="0.45">
      <c r="A45" s="180" t="s">
        <v>112</v>
      </c>
      <c r="B45" s="181">
        <f>SUM(B42:B44)</f>
        <v>0.4</v>
      </c>
      <c r="D45" s="182"/>
    </row>
    <row r="46" spans="1:7" ht="16.75" customHeight="1" x14ac:dyDescent="0.45">
      <c r="A46" s="180"/>
      <c r="B46" s="181"/>
      <c r="D46" s="182"/>
    </row>
    <row r="47" spans="1:7" ht="30" customHeight="1" x14ac:dyDescent="0.35">
      <c r="A47" s="230" t="s">
        <v>113</v>
      </c>
      <c r="B47" s="231"/>
      <c r="C47" s="231"/>
      <c r="D47" s="231"/>
      <c r="E47" s="231"/>
      <c r="F47" s="231"/>
      <c r="G47" s="232"/>
    </row>
    <row r="48" spans="1:7" ht="16.75" customHeight="1" x14ac:dyDescent="0.35">
      <c r="A48" s="174" t="s">
        <v>87</v>
      </c>
      <c r="B48" s="174" t="s">
        <v>88</v>
      </c>
      <c r="C48" s="175" t="s">
        <v>89</v>
      </c>
      <c r="D48" s="175" t="s">
        <v>90</v>
      </c>
      <c r="E48" s="175" t="s">
        <v>91</v>
      </c>
      <c r="F48" s="175" t="s">
        <v>92</v>
      </c>
      <c r="G48" s="175" t="s">
        <v>93</v>
      </c>
    </row>
    <row r="49" spans="1:7" ht="58" x14ac:dyDescent="0.35">
      <c r="A49" s="176" t="s">
        <v>180</v>
      </c>
      <c r="B49" s="177">
        <v>0.4</v>
      </c>
      <c r="C49" s="178" t="s">
        <v>185</v>
      </c>
      <c r="D49" s="178" t="s">
        <v>184</v>
      </c>
      <c r="E49" s="178" t="s">
        <v>183</v>
      </c>
      <c r="F49" s="178" t="s">
        <v>182</v>
      </c>
      <c r="G49" s="178" t="s">
        <v>194</v>
      </c>
    </row>
    <row r="50" spans="1:7" ht="87" x14ac:dyDescent="0.35">
      <c r="A50" s="176" t="s">
        <v>181</v>
      </c>
      <c r="B50" s="177">
        <v>0.2</v>
      </c>
      <c r="C50" s="178" t="s">
        <v>186</v>
      </c>
      <c r="D50" s="178" t="s">
        <v>186</v>
      </c>
      <c r="E50" s="178" t="s">
        <v>186</v>
      </c>
      <c r="F50" s="178" t="s">
        <v>186</v>
      </c>
      <c r="G50" s="178" t="s">
        <v>186</v>
      </c>
    </row>
    <row r="51" spans="1:7" ht="15" thickBot="1" x14ac:dyDescent="0.4">
      <c r="A51" s="179"/>
      <c r="B51" s="190"/>
      <c r="C51" s="178"/>
      <c r="D51" s="178"/>
      <c r="E51" s="178"/>
      <c r="F51" s="178"/>
      <c r="G51" s="178"/>
    </row>
    <row r="52" spans="1:7" ht="16.75" customHeight="1" thickBot="1" x14ac:dyDescent="0.5">
      <c r="A52" s="180" t="s">
        <v>112</v>
      </c>
      <c r="B52" s="191">
        <f t="shared" ref="B52" si="0">SUM(B49:B51)</f>
        <v>0.60000000000000009</v>
      </c>
      <c r="D52" s="182"/>
    </row>
  </sheetData>
  <dataConsolidate/>
  <mergeCells count="11">
    <mergeCell ref="A1:F1"/>
    <mergeCell ref="A2:F2"/>
    <mergeCell ref="A14:F14"/>
    <mergeCell ref="D27:F27"/>
    <mergeCell ref="A33:F33"/>
    <mergeCell ref="A47:G47"/>
    <mergeCell ref="A34:F34"/>
    <mergeCell ref="A36:F36"/>
    <mergeCell ref="A37:F37"/>
    <mergeCell ref="A38:F38"/>
    <mergeCell ref="A40:G40"/>
  </mergeCells>
  <conditionalFormatting sqref="A17:F26">
    <cfRule type="containsBlanks" dxfId="1" priority="3">
      <formula>LEN(TRIM(A17))=0</formula>
    </cfRule>
  </conditionalFormatting>
  <conditionalFormatting sqref="A38:F38">
    <cfRule type="containsBlanks" dxfId="0" priority="1">
      <formula>LEN(TRIM(A38))=0</formula>
    </cfRule>
  </conditionalFormatting>
  <dataValidations count="1">
    <dataValidation type="list" allowBlank="1" showInputMessage="1" showErrorMessage="1" sqref="C17:C26 C6:C13" xr:uid="{A2D72F73-F68C-4EE3-BE40-FEEFC7C67A8E}">
      <formula1>"Individual, Team"</formula1>
    </dataValidation>
  </dataValidation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8"/>
  <sheetViews>
    <sheetView zoomScale="85" zoomScaleNormal="85" workbookViewId="0">
      <selection activeCell="G77" sqref="G77"/>
    </sheetView>
  </sheetViews>
  <sheetFormatPr defaultColWidth="8.81640625" defaultRowHeight="14.5" x14ac:dyDescent="0.35"/>
  <cols>
    <col min="1" max="1" width="36.7265625" customWidth="1"/>
    <col min="2" max="2" width="17.7265625" customWidth="1"/>
    <col min="3" max="3" width="9.453125" customWidth="1"/>
    <col min="4" max="4" width="11" hidden="1" customWidth="1"/>
    <col min="5" max="5" width="17.7265625" customWidth="1"/>
    <col min="6" max="6" width="15.453125" customWidth="1"/>
    <col min="7" max="7" width="17.81640625" style="30" customWidth="1"/>
    <col min="8" max="8" width="15" customWidth="1"/>
    <col min="9" max="9" width="11" customWidth="1"/>
  </cols>
  <sheetData>
    <row r="1" spans="1:10" ht="45" customHeight="1" x14ac:dyDescent="0.35">
      <c r="A1" s="192" t="str">
        <f>'(1) Course Details'!A1:C1</f>
        <v>New Course Proposal Form for SUTD Academy</v>
      </c>
      <c r="B1" s="192"/>
      <c r="C1" s="192"/>
      <c r="D1" s="192"/>
      <c r="E1" s="192"/>
      <c r="F1" s="192"/>
      <c r="G1" s="192"/>
      <c r="H1" s="192"/>
      <c r="I1" s="192"/>
    </row>
    <row r="2" spans="1:10" ht="30" customHeight="1" x14ac:dyDescent="0.35">
      <c r="A2" s="252" t="s">
        <v>114</v>
      </c>
      <c r="B2" s="252"/>
      <c r="C2" s="252"/>
      <c r="D2" s="252"/>
      <c r="E2" s="252"/>
      <c r="F2" s="252"/>
      <c r="G2" s="252"/>
      <c r="H2" s="252"/>
      <c r="I2" s="252"/>
    </row>
    <row r="3" spans="1:10" ht="30" customHeight="1" x14ac:dyDescent="0.35">
      <c r="A3" s="221" t="s">
        <v>27</v>
      </c>
      <c r="B3" s="221"/>
      <c r="C3" s="221"/>
      <c r="D3" s="221"/>
      <c r="E3" s="221"/>
      <c r="F3" s="221"/>
      <c r="G3" s="221"/>
      <c r="H3" s="221"/>
      <c r="I3" s="221"/>
      <c r="J3" s="4"/>
    </row>
    <row r="4" spans="1:10" ht="16.5" customHeight="1" x14ac:dyDescent="0.35">
      <c r="A4" s="31" t="s">
        <v>115</v>
      </c>
      <c r="B4" s="253" t="s">
        <v>116</v>
      </c>
      <c r="C4" s="253"/>
      <c r="D4" s="253"/>
      <c r="E4" s="253" t="s">
        <v>117</v>
      </c>
      <c r="F4" s="253"/>
      <c r="G4" s="32" t="s">
        <v>118</v>
      </c>
      <c r="H4" s="254" t="s">
        <v>119</v>
      </c>
      <c r="I4" s="254"/>
    </row>
    <row r="5" spans="1:10" ht="33" customHeight="1" x14ac:dyDescent="0.35">
      <c r="A5" s="255" t="s">
        <v>120</v>
      </c>
      <c r="B5" s="256" t="s">
        <v>121</v>
      </c>
      <c r="C5" s="256"/>
      <c r="D5" s="256"/>
      <c r="E5" s="257" t="s">
        <v>122</v>
      </c>
      <c r="F5" s="257"/>
      <c r="G5" s="37" t="s">
        <v>123</v>
      </c>
      <c r="H5" s="258" t="s">
        <v>124</v>
      </c>
      <c r="I5" s="258"/>
    </row>
    <row r="6" spans="1:10" ht="33" customHeight="1" x14ac:dyDescent="0.35">
      <c r="A6" s="255"/>
      <c r="B6" s="256" t="s">
        <v>125</v>
      </c>
      <c r="C6" s="256"/>
      <c r="D6" s="256"/>
      <c r="E6" s="259" t="s">
        <v>126</v>
      </c>
      <c r="F6" s="259"/>
      <c r="G6" s="166" t="s">
        <v>123</v>
      </c>
      <c r="H6" s="260" t="s">
        <v>124</v>
      </c>
      <c r="I6" s="260"/>
    </row>
    <row r="7" spans="1:10" ht="16.5" customHeight="1" x14ac:dyDescent="0.35">
      <c r="A7" s="255"/>
      <c r="B7" s="261"/>
      <c r="C7" s="261"/>
      <c r="D7" s="261"/>
      <c r="E7" s="261"/>
      <c r="F7" s="261"/>
      <c r="G7" s="33"/>
      <c r="H7" s="262"/>
      <c r="I7" s="262"/>
    </row>
    <row r="8" spans="1:10" ht="16.5" customHeight="1" x14ac:dyDescent="0.35">
      <c r="A8" s="255"/>
      <c r="B8" s="261"/>
      <c r="C8" s="261"/>
      <c r="D8" s="261"/>
      <c r="E8" s="261"/>
      <c r="F8" s="261"/>
      <c r="G8" s="33"/>
      <c r="H8" s="262"/>
      <c r="I8" s="262"/>
    </row>
    <row r="9" spans="1:10" ht="16.5" customHeight="1" x14ac:dyDescent="0.35">
      <c r="A9" s="255"/>
      <c r="B9" s="263"/>
      <c r="C9" s="263"/>
      <c r="D9" s="263"/>
      <c r="E9" s="263"/>
      <c r="F9" s="263"/>
      <c r="G9" s="34"/>
      <c r="H9" s="264"/>
      <c r="I9" s="264"/>
    </row>
    <row r="10" spans="1:10" ht="16.5" customHeight="1" x14ac:dyDescent="0.35">
      <c r="A10" s="31" t="s">
        <v>127</v>
      </c>
      <c r="B10" s="265" t="s">
        <v>127</v>
      </c>
      <c r="C10" s="265"/>
      <c r="D10" s="265"/>
      <c r="E10" s="265" t="s">
        <v>117</v>
      </c>
      <c r="F10" s="265"/>
      <c r="G10" s="35" t="s">
        <v>118</v>
      </c>
      <c r="H10" s="266" t="s">
        <v>119</v>
      </c>
      <c r="I10" s="266"/>
    </row>
    <row r="11" spans="1:10" ht="16.5" customHeight="1" x14ac:dyDescent="0.35">
      <c r="A11" s="255" t="s">
        <v>128</v>
      </c>
      <c r="B11" s="267"/>
      <c r="C11" s="267"/>
      <c r="D11" s="267"/>
      <c r="E11" s="261"/>
      <c r="F11" s="261"/>
      <c r="G11" s="33"/>
      <c r="H11" s="262"/>
      <c r="I11" s="262"/>
    </row>
    <row r="12" spans="1:10" ht="16.5" customHeight="1" x14ac:dyDescent="0.35">
      <c r="A12" s="255"/>
      <c r="B12" s="267"/>
      <c r="C12" s="267"/>
      <c r="D12" s="267"/>
      <c r="E12" s="261"/>
      <c r="F12" s="261"/>
      <c r="G12" s="33"/>
      <c r="H12" s="262"/>
      <c r="I12" s="262"/>
    </row>
    <row r="13" spans="1:10" ht="16.5" customHeight="1" x14ac:dyDescent="0.35">
      <c r="A13" s="255"/>
      <c r="B13" s="261"/>
      <c r="C13" s="261"/>
      <c r="D13" s="261"/>
      <c r="E13" s="261"/>
      <c r="F13" s="261"/>
      <c r="G13" s="33"/>
      <c r="H13" s="262"/>
      <c r="I13" s="262"/>
    </row>
    <row r="14" spans="1:10" ht="16.5" customHeight="1" x14ac:dyDescent="0.35">
      <c r="A14" s="255"/>
      <c r="B14" s="261"/>
      <c r="C14" s="261"/>
      <c r="D14" s="261"/>
      <c r="E14" s="261"/>
      <c r="F14" s="261"/>
      <c r="G14" s="33"/>
      <c r="H14" s="262"/>
      <c r="I14" s="262"/>
    </row>
    <row r="15" spans="1:10" ht="16.5" customHeight="1" x14ac:dyDescent="0.35">
      <c r="A15" s="255"/>
      <c r="B15" s="263"/>
      <c r="C15" s="263"/>
      <c r="D15" s="263"/>
      <c r="E15" s="263"/>
      <c r="F15" s="263"/>
      <c r="G15" s="34"/>
      <c r="H15" s="264"/>
      <c r="I15" s="264"/>
    </row>
    <row r="16" spans="1:10" ht="16.5" customHeight="1" x14ac:dyDescent="0.35">
      <c r="A16" s="36" t="s">
        <v>129</v>
      </c>
      <c r="B16" s="265" t="s">
        <v>129</v>
      </c>
      <c r="C16" s="265"/>
      <c r="D16" s="265"/>
      <c r="E16" s="265" t="s">
        <v>117</v>
      </c>
      <c r="F16" s="265"/>
      <c r="G16" s="35" t="s">
        <v>118</v>
      </c>
      <c r="H16" s="266" t="s">
        <v>119</v>
      </c>
      <c r="I16" s="266"/>
    </row>
    <row r="17" spans="1:9" ht="16.5" customHeight="1" x14ac:dyDescent="0.35">
      <c r="A17" s="255" t="s">
        <v>130</v>
      </c>
      <c r="B17" s="261"/>
      <c r="C17" s="261"/>
      <c r="D17" s="261"/>
      <c r="E17" s="259"/>
      <c r="F17" s="259"/>
      <c r="G17" s="37"/>
      <c r="H17" s="260"/>
      <c r="I17" s="260"/>
    </row>
    <row r="18" spans="1:9" ht="16.5" customHeight="1" x14ac:dyDescent="0.35">
      <c r="A18" s="255"/>
      <c r="B18" s="261"/>
      <c r="C18" s="261"/>
      <c r="D18" s="261"/>
      <c r="E18" s="261"/>
      <c r="F18" s="261"/>
      <c r="G18" s="33"/>
      <c r="H18" s="262"/>
      <c r="I18" s="262"/>
    </row>
    <row r="19" spans="1:9" ht="16.5" customHeight="1" x14ac:dyDescent="0.35">
      <c r="A19" s="255"/>
      <c r="B19" s="261"/>
      <c r="C19" s="261"/>
      <c r="D19" s="261"/>
      <c r="E19" s="261"/>
      <c r="F19" s="261"/>
      <c r="G19" s="33"/>
      <c r="H19" s="262"/>
      <c r="I19" s="262"/>
    </row>
    <row r="20" spans="1:9" ht="16.5" customHeight="1" x14ac:dyDescent="0.35">
      <c r="A20" s="255"/>
      <c r="B20" s="261"/>
      <c r="C20" s="261"/>
      <c r="D20" s="261"/>
      <c r="E20" s="261"/>
      <c r="F20" s="261"/>
      <c r="G20" s="33"/>
      <c r="H20" s="262"/>
      <c r="I20" s="262"/>
    </row>
    <row r="21" spans="1:9" ht="54" customHeight="1" x14ac:dyDescent="0.35">
      <c r="A21" s="255"/>
      <c r="B21" s="263"/>
      <c r="C21" s="263"/>
      <c r="D21" s="263"/>
      <c r="E21" s="263"/>
      <c r="F21" s="263"/>
      <c r="G21" s="34"/>
      <c r="H21" s="264"/>
      <c r="I21" s="264"/>
    </row>
    <row r="22" spans="1:9" ht="16.5" customHeight="1" x14ac:dyDescent="0.35">
      <c r="A22" s="38" t="s">
        <v>131</v>
      </c>
      <c r="B22" s="265" t="s">
        <v>131</v>
      </c>
      <c r="C22" s="265"/>
      <c r="D22" s="265"/>
      <c r="E22" s="265" t="s">
        <v>117</v>
      </c>
      <c r="F22" s="265"/>
      <c r="G22" s="35" t="s">
        <v>118</v>
      </c>
      <c r="H22" s="266" t="s">
        <v>119</v>
      </c>
      <c r="I22" s="266"/>
    </row>
    <row r="23" spans="1:9" ht="33" customHeight="1" x14ac:dyDescent="0.35">
      <c r="A23" s="255" t="s">
        <v>132</v>
      </c>
      <c r="B23" s="268" t="s">
        <v>133</v>
      </c>
      <c r="C23" s="268"/>
      <c r="D23" s="268"/>
      <c r="E23" s="257" t="s">
        <v>134</v>
      </c>
      <c r="F23" s="257"/>
      <c r="G23" s="33"/>
      <c r="H23" s="262"/>
      <c r="I23" s="262"/>
    </row>
    <row r="24" spans="1:9" ht="16.5" customHeight="1" x14ac:dyDescent="0.35">
      <c r="A24" s="255"/>
      <c r="B24" s="261"/>
      <c r="C24" s="261"/>
      <c r="D24" s="261"/>
      <c r="E24" s="261"/>
      <c r="F24" s="261"/>
      <c r="G24" s="33"/>
      <c r="H24" s="262"/>
      <c r="I24" s="262"/>
    </row>
    <row r="25" spans="1:9" ht="16.5" customHeight="1" x14ac:dyDescent="0.35">
      <c r="A25" s="255"/>
      <c r="B25" s="261"/>
      <c r="C25" s="261"/>
      <c r="D25" s="261"/>
      <c r="E25" s="261"/>
      <c r="F25" s="261"/>
      <c r="G25" s="33"/>
      <c r="H25" s="262"/>
      <c r="I25" s="262"/>
    </row>
    <row r="26" spans="1:9" ht="16.5" customHeight="1" x14ac:dyDescent="0.35">
      <c r="A26" s="255"/>
      <c r="B26" s="261"/>
      <c r="C26" s="261"/>
      <c r="D26" s="261"/>
      <c r="E26" s="261"/>
      <c r="F26" s="261"/>
      <c r="G26" s="33"/>
      <c r="H26" s="262"/>
      <c r="I26" s="262"/>
    </row>
    <row r="27" spans="1:9" ht="16.5" customHeight="1" x14ac:dyDescent="0.35">
      <c r="A27" s="255"/>
      <c r="B27" s="263"/>
      <c r="C27" s="263"/>
      <c r="D27" s="263"/>
      <c r="E27" s="263"/>
      <c r="F27" s="263"/>
      <c r="G27" s="34"/>
      <c r="H27" s="264"/>
      <c r="I27" s="264"/>
    </row>
    <row r="28" spans="1:9" ht="16.5" customHeight="1" x14ac:dyDescent="0.35">
      <c r="A28" s="269" t="s">
        <v>135</v>
      </c>
      <c r="B28" s="269"/>
      <c r="C28" s="269"/>
      <c r="D28" s="269"/>
      <c r="E28" s="269"/>
      <c r="F28" s="269"/>
      <c r="G28" s="39">
        <f>SUM(G5:G9,G11:G15,G17:G21,G23:G27)</f>
        <v>0</v>
      </c>
      <c r="H28" s="270"/>
      <c r="I28" s="270"/>
    </row>
    <row r="29" spans="1:9" ht="16.5" customHeight="1" x14ac:dyDescent="0.35">
      <c r="A29" s="36" t="s">
        <v>136</v>
      </c>
      <c r="B29" s="271" t="s">
        <v>123</v>
      </c>
      <c r="C29" s="271"/>
      <c r="D29" s="271"/>
      <c r="E29" s="271"/>
      <c r="F29" s="271"/>
      <c r="G29" s="271"/>
      <c r="H29" s="271"/>
      <c r="I29" s="271"/>
    </row>
    <row r="30" spans="1:9" ht="16.5" customHeight="1" x14ac:dyDescent="0.35">
      <c r="A30" s="255" t="s">
        <v>137</v>
      </c>
      <c r="B30" s="272"/>
      <c r="C30" s="272"/>
      <c r="D30" s="272"/>
      <c r="E30" s="272"/>
      <c r="F30" s="272"/>
      <c r="G30" s="272"/>
      <c r="H30" s="272"/>
      <c r="I30" s="272"/>
    </row>
    <row r="31" spans="1:9" ht="16.5" customHeight="1" x14ac:dyDescent="0.35">
      <c r="A31" s="255"/>
      <c r="B31" s="272"/>
      <c r="C31" s="272"/>
      <c r="D31" s="272"/>
      <c r="E31" s="272"/>
      <c r="F31" s="272"/>
      <c r="G31" s="272"/>
      <c r="H31" s="272"/>
      <c r="I31" s="272"/>
    </row>
    <row r="32" spans="1:9" ht="16.5" customHeight="1" x14ac:dyDescent="0.35">
      <c r="A32" s="255"/>
      <c r="B32" s="273"/>
      <c r="C32" s="273"/>
      <c r="D32" s="273"/>
      <c r="E32" s="273"/>
      <c r="F32" s="273"/>
      <c r="G32" s="273"/>
      <c r="H32" s="273"/>
      <c r="I32" s="273"/>
    </row>
    <row r="33" spans="1:9" ht="16.5" customHeight="1" x14ac:dyDescent="0.35">
      <c r="A33" s="255"/>
      <c r="B33" s="272"/>
      <c r="C33" s="272"/>
      <c r="D33" s="272"/>
      <c r="E33" s="272"/>
      <c r="F33" s="272"/>
      <c r="G33" s="272"/>
      <c r="H33" s="272"/>
      <c r="I33" s="272"/>
    </row>
    <row r="34" spans="1:9" ht="16.5" customHeight="1" x14ac:dyDescent="0.35">
      <c r="A34" s="255"/>
      <c r="B34" s="274"/>
      <c r="C34" s="274"/>
      <c r="D34" s="274"/>
      <c r="E34" s="274"/>
      <c r="F34" s="274"/>
      <c r="G34" s="274"/>
      <c r="H34" s="274"/>
      <c r="I34" s="274"/>
    </row>
    <row r="35" spans="1:9" ht="16.5" customHeight="1" x14ac:dyDescent="0.35">
      <c r="A35" s="36" t="s">
        <v>138</v>
      </c>
      <c r="B35" s="271" t="s">
        <v>123</v>
      </c>
      <c r="C35" s="271"/>
      <c r="D35" s="271"/>
      <c r="E35" s="271"/>
      <c r="F35" s="271"/>
      <c r="G35" s="271"/>
      <c r="H35" s="271"/>
      <c r="I35" s="271"/>
    </row>
    <row r="36" spans="1:9" ht="16.5" customHeight="1" x14ac:dyDescent="0.35">
      <c r="A36" s="255" t="s">
        <v>139</v>
      </c>
      <c r="B36" s="272"/>
      <c r="C36" s="272"/>
      <c r="D36" s="272"/>
      <c r="E36" s="272"/>
      <c r="F36" s="272"/>
      <c r="G36" s="272"/>
      <c r="H36" s="272"/>
      <c r="I36" s="272"/>
    </row>
    <row r="37" spans="1:9" ht="16.5" customHeight="1" x14ac:dyDescent="0.35">
      <c r="A37" s="255"/>
      <c r="B37" s="272"/>
      <c r="C37" s="272"/>
      <c r="D37" s="272"/>
      <c r="E37" s="272"/>
      <c r="F37" s="272"/>
      <c r="G37" s="272"/>
      <c r="H37" s="272"/>
      <c r="I37" s="272"/>
    </row>
    <row r="38" spans="1:9" ht="16.5" customHeight="1" x14ac:dyDescent="0.35">
      <c r="A38" s="255"/>
      <c r="B38" s="272"/>
      <c r="C38" s="272"/>
      <c r="D38" s="272"/>
      <c r="E38" s="272"/>
      <c r="F38" s="272"/>
      <c r="G38" s="272"/>
      <c r="H38" s="272"/>
      <c r="I38" s="272"/>
    </row>
    <row r="39" spans="1:9" ht="16.5" customHeight="1" x14ac:dyDescent="0.35">
      <c r="A39" s="255"/>
      <c r="B39" s="272"/>
      <c r="C39" s="272"/>
      <c r="D39" s="272"/>
      <c r="E39" s="272"/>
      <c r="F39" s="272"/>
      <c r="G39" s="272"/>
      <c r="H39" s="272"/>
      <c r="I39" s="272"/>
    </row>
    <row r="40" spans="1:9" ht="16.5" customHeight="1" thickBot="1" x14ac:dyDescent="0.4">
      <c r="A40" s="255"/>
      <c r="B40" s="274"/>
      <c r="C40" s="274"/>
      <c r="D40" s="274"/>
      <c r="E40" s="274"/>
      <c r="F40" s="274"/>
      <c r="G40" s="274"/>
      <c r="H40" s="274"/>
      <c r="I40" s="274"/>
    </row>
    <row r="41" spans="1:9" ht="16.5" customHeight="1" x14ac:dyDescent="0.35">
      <c r="A41" s="36" t="s">
        <v>140</v>
      </c>
      <c r="B41" s="275" t="s">
        <v>141</v>
      </c>
      <c r="C41" s="276"/>
      <c r="D41" s="276"/>
      <c r="E41" s="276"/>
      <c r="F41" s="276"/>
      <c r="G41" s="276"/>
      <c r="H41" s="276"/>
      <c r="I41" s="277"/>
    </row>
    <row r="42" spans="1:9" ht="16.5" customHeight="1" thickBot="1" x14ac:dyDescent="0.4">
      <c r="A42" s="255" t="s">
        <v>142</v>
      </c>
      <c r="B42" s="272"/>
      <c r="C42" s="272"/>
      <c r="D42" s="272"/>
      <c r="E42" s="272"/>
      <c r="F42" s="272"/>
      <c r="G42" s="272"/>
      <c r="H42" s="272"/>
      <c r="I42" s="272"/>
    </row>
    <row r="43" spans="1:9" ht="16.5" customHeight="1" x14ac:dyDescent="0.35">
      <c r="A43" s="255"/>
      <c r="B43" s="272"/>
      <c r="C43" s="272"/>
      <c r="D43" s="272"/>
      <c r="E43" s="272"/>
      <c r="F43" s="272"/>
      <c r="G43" s="272"/>
      <c r="H43" s="272"/>
      <c r="I43" s="272"/>
    </row>
    <row r="44" spans="1:9" ht="16.5" customHeight="1" x14ac:dyDescent="0.35">
      <c r="A44" s="255"/>
      <c r="B44" s="272"/>
      <c r="C44" s="272"/>
      <c r="D44" s="272"/>
      <c r="E44" s="272"/>
      <c r="F44" s="272"/>
      <c r="G44" s="272"/>
      <c r="H44" s="272"/>
      <c r="I44" s="272"/>
    </row>
    <row r="45" spans="1:9" ht="16.5" customHeight="1" x14ac:dyDescent="0.35">
      <c r="A45" s="255"/>
      <c r="B45" s="272"/>
      <c r="C45" s="272"/>
      <c r="D45" s="272"/>
      <c r="E45" s="272"/>
      <c r="F45" s="272"/>
      <c r="G45" s="272"/>
      <c r="H45" s="272"/>
      <c r="I45" s="272"/>
    </row>
    <row r="46" spans="1:9" ht="16.5" customHeight="1" x14ac:dyDescent="0.35">
      <c r="A46" s="255"/>
      <c r="B46" s="274"/>
      <c r="C46" s="274"/>
      <c r="D46" s="274"/>
      <c r="E46" s="274"/>
      <c r="F46" s="274"/>
      <c r="G46" s="274"/>
      <c r="H46" s="274"/>
      <c r="I46" s="274"/>
    </row>
    <row r="47" spans="1:9" ht="16.5" customHeight="1" x14ac:dyDescent="0.35">
      <c r="A47" s="36" t="s">
        <v>143</v>
      </c>
      <c r="B47" s="271" t="s">
        <v>123</v>
      </c>
      <c r="C47" s="271"/>
      <c r="D47" s="271"/>
      <c r="E47" s="271"/>
      <c r="F47" s="271"/>
      <c r="G47" s="271"/>
      <c r="H47" s="271"/>
      <c r="I47" s="271"/>
    </row>
    <row r="48" spans="1:9" ht="16.5" customHeight="1" x14ac:dyDescent="0.35">
      <c r="A48" s="255" t="s">
        <v>144</v>
      </c>
      <c r="B48" s="272"/>
      <c r="C48" s="272"/>
      <c r="D48" s="272"/>
      <c r="E48" s="272"/>
      <c r="F48" s="272"/>
      <c r="G48" s="272"/>
      <c r="H48" s="272"/>
      <c r="I48" s="272"/>
    </row>
    <row r="49" spans="1:9" ht="16.5" customHeight="1" x14ac:dyDescent="0.35">
      <c r="A49" s="255"/>
      <c r="B49" s="272"/>
      <c r="C49" s="272"/>
      <c r="D49" s="272"/>
      <c r="E49" s="272"/>
      <c r="F49" s="272"/>
      <c r="G49" s="272"/>
      <c r="H49" s="272"/>
      <c r="I49" s="272"/>
    </row>
    <row r="50" spans="1:9" ht="16.5" customHeight="1" x14ac:dyDescent="0.35">
      <c r="A50" s="255"/>
      <c r="B50" s="272"/>
      <c r="C50" s="272"/>
      <c r="D50" s="272"/>
      <c r="E50" s="272"/>
      <c r="F50" s="272"/>
      <c r="G50" s="272"/>
      <c r="H50" s="272"/>
      <c r="I50" s="272"/>
    </row>
    <row r="51" spans="1:9" ht="16.5" customHeight="1" x14ac:dyDescent="0.35">
      <c r="A51" s="255"/>
      <c r="B51" s="272"/>
      <c r="C51" s="272"/>
      <c r="D51" s="272"/>
      <c r="E51" s="272"/>
      <c r="F51" s="272"/>
      <c r="G51" s="272"/>
      <c r="H51" s="272"/>
      <c r="I51" s="272"/>
    </row>
    <row r="52" spans="1:9" ht="16.5" customHeight="1" x14ac:dyDescent="0.35">
      <c r="A52" s="255"/>
      <c r="B52" s="274"/>
      <c r="C52" s="274"/>
      <c r="D52" s="274"/>
      <c r="E52" s="274"/>
      <c r="F52" s="274"/>
      <c r="G52" s="274"/>
      <c r="H52" s="274"/>
      <c r="I52" s="274"/>
    </row>
    <row r="53" spans="1:9" ht="16.5" customHeight="1" x14ac:dyDescent="0.35">
      <c r="A53" s="38" t="s">
        <v>145</v>
      </c>
      <c r="B53" s="271" t="s">
        <v>123</v>
      </c>
      <c r="C53" s="271"/>
      <c r="D53" s="271"/>
      <c r="E53" s="271"/>
      <c r="F53" s="271"/>
      <c r="G53" s="271"/>
      <c r="H53" s="271"/>
      <c r="I53" s="271"/>
    </row>
    <row r="54" spans="1:9" ht="16.5" customHeight="1" x14ac:dyDescent="0.35">
      <c r="A54" s="255" t="s">
        <v>146</v>
      </c>
      <c r="B54" s="272"/>
      <c r="C54" s="272"/>
      <c r="D54" s="272"/>
      <c r="E54" s="272"/>
      <c r="F54" s="272"/>
      <c r="G54" s="272"/>
      <c r="H54" s="272"/>
      <c r="I54" s="272"/>
    </row>
    <row r="55" spans="1:9" ht="16.5" customHeight="1" x14ac:dyDescent="0.35">
      <c r="A55" s="255"/>
      <c r="B55" s="272"/>
      <c r="C55" s="272"/>
      <c r="D55" s="272"/>
      <c r="E55" s="272"/>
      <c r="F55" s="272"/>
      <c r="G55" s="272"/>
      <c r="H55" s="272"/>
      <c r="I55" s="272"/>
    </row>
    <row r="56" spans="1:9" ht="16.5" customHeight="1" x14ac:dyDescent="0.35">
      <c r="A56" s="255"/>
      <c r="B56" s="272"/>
      <c r="C56" s="272"/>
      <c r="D56" s="272"/>
      <c r="E56" s="272"/>
      <c r="F56" s="272"/>
      <c r="G56" s="272"/>
      <c r="H56" s="272"/>
      <c r="I56" s="272"/>
    </row>
    <row r="57" spans="1:9" ht="16.5" customHeight="1" x14ac:dyDescent="0.35">
      <c r="A57" s="255"/>
      <c r="B57" s="272"/>
      <c r="C57" s="272"/>
      <c r="D57" s="272"/>
      <c r="E57" s="272"/>
      <c r="F57" s="272"/>
      <c r="G57" s="272"/>
      <c r="H57" s="272"/>
      <c r="I57" s="272"/>
    </row>
    <row r="58" spans="1:9" ht="16.5" customHeight="1" x14ac:dyDescent="0.35">
      <c r="A58" s="255"/>
      <c r="B58" s="274"/>
      <c r="C58" s="274"/>
      <c r="D58" s="274"/>
      <c r="E58" s="274"/>
      <c r="F58" s="274"/>
      <c r="G58" s="274"/>
      <c r="H58" s="274"/>
      <c r="I58" s="274"/>
    </row>
    <row r="59" spans="1:9" ht="16.5" customHeight="1" x14ac:dyDescent="0.35"/>
    <row r="60" spans="1:9" ht="16.5" customHeight="1" x14ac:dyDescent="0.35"/>
    <row r="61" spans="1:9" ht="16.5" customHeight="1" x14ac:dyDescent="0.35"/>
    <row r="62" spans="1:9" ht="16.5" customHeight="1" x14ac:dyDescent="0.35"/>
    <row r="63" spans="1:9" ht="16.5" customHeight="1" x14ac:dyDescent="0.35"/>
    <row r="64" spans="1:9" ht="16.5" customHeight="1" x14ac:dyDescent="0.35"/>
    <row r="65" ht="16.5" customHeight="1" x14ac:dyDescent="0.35"/>
    <row r="66" ht="16.5" customHeight="1" x14ac:dyDescent="0.35"/>
    <row r="67" ht="16.5" customHeight="1" x14ac:dyDescent="0.35"/>
    <row r="68" ht="16.5" customHeight="1" x14ac:dyDescent="0.35"/>
    <row r="69" ht="16.5" customHeight="1" x14ac:dyDescent="0.35"/>
    <row r="70" ht="16.5" customHeight="1" x14ac:dyDescent="0.35"/>
    <row r="71" ht="16.5" customHeight="1" x14ac:dyDescent="0.35"/>
    <row r="72" ht="16.5" customHeight="1" x14ac:dyDescent="0.35"/>
    <row r="73" ht="16.5" customHeight="1" x14ac:dyDescent="0.35"/>
    <row r="74" ht="16.5" customHeight="1" x14ac:dyDescent="0.35"/>
    <row r="75" ht="16.5" customHeight="1" x14ac:dyDescent="0.35"/>
    <row r="76" ht="16.5" customHeight="1" x14ac:dyDescent="0.35"/>
    <row r="77" ht="16.5" customHeight="1" x14ac:dyDescent="0.35"/>
    <row r="78" ht="16.5" customHeight="1" x14ac:dyDescent="0.35"/>
  </sheetData>
  <mergeCells count="116">
    <mergeCell ref="B47:I47"/>
    <mergeCell ref="A48:A52"/>
    <mergeCell ref="B48:I48"/>
    <mergeCell ref="B49:I49"/>
    <mergeCell ref="B50:I50"/>
    <mergeCell ref="B51:I51"/>
    <mergeCell ref="B52:I52"/>
    <mergeCell ref="B53:I53"/>
    <mergeCell ref="A54:A58"/>
    <mergeCell ref="B54:I54"/>
    <mergeCell ref="B55:I55"/>
    <mergeCell ref="B56:I56"/>
    <mergeCell ref="B57:I57"/>
    <mergeCell ref="B58:I58"/>
    <mergeCell ref="B35:I35"/>
    <mergeCell ref="A36:A40"/>
    <mergeCell ref="B36:I36"/>
    <mergeCell ref="B37:I37"/>
    <mergeCell ref="B38:I38"/>
    <mergeCell ref="B39:I39"/>
    <mergeCell ref="B40:I40"/>
    <mergeCell ref="B41:I41"/>
    <mergeCell ref="A42:A46"/>
    <mergeCell ref="B42:I42"/>
    <mergeCell ref="B43:I43"/>
    <mergeCell ref="B44:I44"/>
    <mergeCell ref="B45:I45"/>
    <mergeCell ref="B46:I46"/>
    <mergeCell ref="A28:F28"/>
    <mergeCell ref="H28:I28"/>
    <mergeCell ref="B29:I29"/>
    <mergeCell ref="A30:A34"/>
    <mergeCell ref="B30:I30"/>
    <mergeCell ref="B31:I31"/>
    <mergeCell ref="B32:I32"/>
    <mergeCell ref="B33:I33"/>
    <mergeCell ref="B34:I34"/>
    <mergeCell ref="B22:D22"/>
    <mergeCell ref="E22:F22"/>
    <mergeCell ref="H22:I22"/>
    <mergeCell ref="A23:A27"/>
    <mergeCell ref="B23:D23"/>
    <mergeCell ref="E23:F23"/>
    <mergeCell ref="H23:I23"/>
    <mergeCell ref="B24:D24"/>
    <mergeCell ref="E24:F24"/>
    <mergeCell ref="H24:I24"/>
    <mergeCell ref="B25:D25"/>
    <mergeCell ref="E25:F25"/>
    <mergeCell ref="H25:I25"/>
    <mergeCell ref="B26:D26"/>
    <mergeCell ref="E26:F26"/>
    <mergeCell ref="H26:I26"/>
    <mergeCell ref="B27:D27"/>
    <mergeCell ref="E27:F27"/>
    <mergeCell ref="H27:I27"/>
    <mergeCell ref="B16:D16"/>
    <mergeCell ref="E16:F16"/>
    <mergeCell ref="H16:I16"/>
    <mergeCell ref="A17:A21"/>
    <mergeCell ref="B17:D17"/>
    <mergeCell ref="E17:F17"/>
    <mergeCell ref="H17:I17"/>
    <mergeCell ref="B18:D18"/>
    <mergeCell ref="E18:F18"/>
    <mergeCell ref="H18:I18"/>
    <mergeCell ref="B19:D19"/>
    <mergeCell ref="E19:F19"/>
    <mergeCell ref="H19:I19"/>
    <mergeCell ref="B20:D20"/>
    <mergeCell ref="E20:F20"/>
    <mergeCell ref="H20:I20"/>
    <mergeCell ref="B21:D21"/>
    <mergeCell ref="E21:F21"/>
    <mergeCell ref="H21:I21"/>
    <mergeCell ref="B10:D10"/>
    <mergeCell ref="E10:F10"/>
    <mergeCell ref="H10:I10"/>
    <mergeCell ref="A11:A15"/>
    <mergeCell ref="B11:D11"/>
    <mergeCell ref="E11:F11"/>
    <mergeCell ref="H11:I11"/>
    <mergeCell ref="B12:D12"/>
    <mergeCell ref="E12:F12"/>
    <mergeCell ref="H12:I12"/>
    <mergeCell ref="B13:D13"/>
    <mergeCell ref="E13:F13"/>
    <mergeCell ref="H13:I13"/>
    <mergeCell ref="B14:D14"/>
    <mergeCell ref="E14:F14"/>
    <mergeCell ref="H14:I14"/>
    <mergeCell ref="B15:D15"/>
    <mergeCell ref="E15:F15"/>
    <mergeCell ref="H15:I15"/>
    <mergeCell ref="A1:I1"/>
    <mergeCell ref="A2:I2"/>
    <mergeCell ref="A3:I3"/>
    <mergeCell ref="B4:D4"/>
    <mergeCell ref="E4:F4"/>
    <mergeCell ref="H4:I4"/>
    <mergeCell ref="A5:A9"/>
    <mergeCell ref="B5:D5"/>
    <mergeCell ref="E5:F5"/>
    <mergeCell ref="H5:I5"/>
    <mergeCell ref="B6:D6"/>
    <mergeCell ref="E6:F6"/>
    <mergeCell ref="H6:I6"/>
    <mergeCell ref="B7:D7"/>
    <mergeCell ref="E7:F7"/>
    <mergeCell ref="H7:I7"/>
    <mergeCell ref="B8:D8"/>
    <mergeCell ref="E8:F8"/>
    <mergeCell ref="H8:I8"/>
    <mergeCell ref="B9:D9"/>
    <mergeCell ref="E9:F9"/>
    <mergeCell ref="H9:I9"/>
  </mergeCells>
  <pageMargins left="0.7" right="0.7" top="0.75" bottom="0.75" header="0.511811023622047" footer="0.511811023622047"/>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
  <sheetViews>
    <sheetView topLeftCell="A7" zoomScale="85" zoomScaleNormal="85" workbookViewId="0">
      <selection activeCell="A6" sqref="A6:F6"/>
    </sheetView>
  </sheetViews>
  <sheetFormatPr defaultColWidth="8.81640625" defaultRowHeight="14.5" x14ac:dyDescent="0.35"/>
  <cols>
    <col min="2" max="2" width="34.453125" customWidth="1"/>
    <col min="3" max="3" width="65.81640625" customWidth="1"/>
    <col min="4" max="4" width="18.7265625" style="1" customWidth="1"/>
    <col min="5" max="5" width="7.26953125" customWidth="1"/>
    <col min="6" max="6" width="31.453125" customWidth="1"/>
    <col min="7" max="9" width="18.7265625" customWidth="1"/>
    <col min="10" max="10" width="91.1796875" customWidth="1"/>
  </cols>
  <sheetData>
    <row r="1" spans="1:10" ht="45" customHeight="1" x14ac:dyDescent="0.35">
      <c r="A1" s="192" t="str">
        <f>'(1) Course Details'!A1:C1</f>
        <v>New Course Proposal Form for SUTD Academy</v>
      </c>
      <c r="B1" s="192"/>
      <c r="C1" s="192"/>
      <c r="D1" s="192"/>
      <c r="E1" s="192"/>
      <c r="F1" s="192"/>
      <c r="G1" s="4"/>
      <c r="H1" s="4"/>
      <c r="I1" s="4"/>
      <c r="J1" s="4"/>
    </row>
    <row r="2" spans="1:10" ht="30" customHeight="1" x14ac:dyDescent="0.35">
      <c r="A2" s="220" t="s">
        <v>147</v>
      </c>
      <c r="B2" s="220"/>
      <c r="C2" s="220"/>
      <c r="D2" s="220"/>
      <c r="E2" s="220"/>
      <c r="F2" s="220"/>
      <c r="G2" s="4"/>
      <c r="H2" s="4"/>
      <c r="I2" s="4"/>
      <c r="J2" s="4"/>
    </row>
    <row r="3" spans="1:10" ht="30" customHeight="1" x14ac:dyDescent="0.35">
      <c r="A3" s="281" t="s">
        <v>148</v>
      </c>
      <c r="B3" s="281"/>
      <c r="C3" s="281"/>
      <c r="D3" s="281"/>
      <c r="E3" s="281"/>
      <c r="F3" s="281"/>
      <c r="G3" s="4"/>
      <c r="H3" s="4"/>
      <c r="I3" s="4"/>
      <c r="J3" s="4"/>
    </row>
    <row r="4" spans="1:10" ht="30" customHeight="1" x14ac:dyDescent="0.35">
      <c r="A4" s="281" t="s">
        <v>3</v>
      </c>
      <c r="B4" s="281"/>
      <c r="C4" s="281"/>
      <c r="D4" s="281"/>
      <c r="E4" s="281"/>
      <c r="F4" s="281"/>
      <c r="G4" s="4"/>
      <c r="H4" s="4"/>
      <c r="I4" s="4"/>
      <c r="J4" s="4"/>
    </row>
    <row r="5" spans="1:10" ht="30" customHeight="1" x14ac:dyDescent="0.35">
      <c r="A5" s="281" t="s">
        <v>149</v>
      </c>
      <c r="B5" s="281"/>
      <c r="C5" s="281"/>
      <c r="D5" s="281"/>
      <c r="E5" s="281"/>
      <c r="F5" s="281"/>
      <c r="G5" s="4"/>
      <c r="H5" s="4"/>
      <c r="I5" s="4"/>
      <c r="J5" s="4"/>
    </row>
    <row r="6" spans="1:10" ht="30" customHeight="1" x14ac:dyDescent="0.35">
      <c r="A6" s="282" t="s">
        <v>150</v>
      </c>
      <c r="B6" s="282"/>
      <c r="C6" s="282"/>
      <c r="D6" s="282"/>
      <c r="E6" s="282"/>
      <c r="F6" s="282"/>
      <c r="G6" s="4"/>
      <c r="H6" s="4"/>
      <c r="I6" s="4"/>
      <c r="J6" s="4"/>
    </row>
    <row r="7" spans="1:10" ht="16.5" customHeight="1" x14ac:dyDescent="0.35">
      <c r="A7" s="278" t="s">
        <v>151</v>
      </c>
      <c r="B7" s="40" t="s">
        <v>152</v>
      </c>
      <c r="C7" s="271" t="s">
        <v>153</v>
      </c>
      <c r="D7" s="271"/>
      <c r="E7" s="271"/>
      <c r="F7" s="271"/>
      <c r="G7" s="41"/>
      <c r="H7" s="41"/>
    </row>
    <row r="8" spans="1:10" ht="16.5" customHeight="1" x14ac:dyDescent="0.35">
      <c r="A8" s="278"/>
      <c r="B8" s="42" t="s">
        <v>154</v>
      </c>
      <c r="C8" s="262" t="s">
        <v>195</v>
      </c>
      <c r="D8" s="262"/>
      <c r="E8" s="262"/>
      <c r="F8" s="262"/>
      <c r="G8" s="41"/>
      <c r="H8" s="41"/>
    </row>
    <row r="9" spans="1:10" ht="16.5" customHeight="1" x14ac:dyDescent="0.35">
      <c r="A9" s="278"/>
      <c r="B9" s="43" t="s">
        <v>155</v>
      </c>
      <c r="C9" s="283">
        <v>93764321</v>
      </c>
      <c r="D9" s="283"/>
      <c r="E9" s="283"/>
      <c r="F9" s="283"/>
    </row>
    <row r="10" spans="1:10" ht="16.5" customHeight="1" x14ac:dyDescent="0.35">
      <c r="A10" s="278"/>
      <c r="B10" s="43" t="s">
        <v>156</v>
      </c>
      <c r="C10" s="283" t="s">
        <v>157</v>
      </c>
      <c r="D10" s="283"/>
      <c r="E10" s="283"/>
      <c r="F10" s="283"/>
    </row>
    <row r="11" spans="1:10" ht="16.5" customHeight="1" x14ac:dyDescent="0.35">
      <c r="A11" s="278"/>
      <c r="B11" s="44"/>
      <c r="C11" s="280"/>
      <c r="D11" s="280"/>
      <c r="E11" s="280"/>
      <c r="F11" s="280"/>
    </row>
    <row r="12" spans="1:10" ht="16.5" customHeight="1" x14ac:dyDescent="0.35">
      <c r="A12" s="278"/>
      <c r="B12" s="43" t="s">
        <v>158</v>
      </c>
      <c r="C12" s="272" t="s">
        <v>159</v>
      </c>
      <c r="D12" s="272"/>
      <c r="E12" s="272"/>
      <c r="F12" s="272"/>
    </row>
    <row r="13" spans="1:10" ht="16.5" customHeight="1" x14ac:dyDescent="0.35">
      <c r="A13" s="278"/>
      <c r="B13" s="43" t="s">
        <v>160</v>
      </c>
      <c r="C13" s="272"/>
      <c r="D13" s="272"/>
      <c r="E13" s="272"/>
      <c r="F13" s="272"/>
    </row>
    <row r="14" spans="1:10" ht="16.5" customHeight="1" thickBot="1" x14ac:dyDescent="0.4">
      <c r="A14" s="278"/>
      <c r="B14" s="45" t="s">
        <v>161</v>
      </c>
      <c r="C14" s="274"/>
      <c r="D14" s="274"/>
      <c r="E14" s="274"/>
      <c r="F14" s="274"/>
    </row>
    <row r="15" spans="1:10" ht="16" thickBot="1" x14ac:dyDescent="0.4">
      <c r="A15" s="278" t="s">
        <v>162</v>
      </c>
      <c r="B15" s="40" t="s">
        <v>152</v>
      </c>
      <c r="C15" s="271"/>
      <c r="D15" s="271"/>
      <c r="E15" s="271"/>
      <c r="F15" s="271"/>
    </row>
    <row r="16" spans="1:10" ht="16" thickBot="1" x14ac:dyDescent="0.4">
      <c r="A16" s="278"/>
      <c r="B16" s="42" t="s">
        <v>154</v>
      </c>
      <c r="C16" s="262"/>
      <c r="D16" s="262"/>
      <c r="E16" s="262"/>
      <c r="F16" s="262"/>
    </row>
    <row r="17" spans="1:6" ht="15" thickBot="1" x14ac:dyDescent="0.4">
      <c r="A17" s="278"/>
      <c r="B17" s="43" t="s">
        <v>155</v>
      </c>
      <c r="C17" s="279"/>
      <c r="D17" s="279"/>
      <c r="E17" s="279"/>
      <c r="F17" s="279"/>
    </row>
    <row r="18" spans="1:6" ht="15" thickBot="1" x14ac:dyDescent="0.4">
      <c r="A18" s="278"/>
      <c r="B18" s="43" t="s">
        <v>156</v>
      </c>
      <c r="C18" s="279"/>
      <c r="D18" s="279"/>
      <c r="E18" s="279"/>
      <c r="F18" s="279"/>
    </row>
    <row r="19" spans="1:6" ht="15" thickBot="1" x14ac:dyDescent="0.4">
      <c r="A19" s="278"/>
      <c r="B19" s="44"/>
      <c r="C19" s="280"/>
      <c r="D19" s="280"/>
      <c r="E19" s="280"/>
      <c r="F19" s="280"/>
    </row>
    <row r="20" spans="1:6" ht="15" thickBot="1" x14ac:dyDescent="0.4">
      <c r="A20" s="278"/>
      <c r="B20" s="43" t="s">
        <v>158</v>
      </c>
      <c r="C20" s="272"/>
      <c r="D20" s="272"/>
      <c r="E20" s="272"/>
      <c r="F20" s="272"/>
    </row>
    <row r="21" spans="1:6" ht="15" thickBot="1" x14ac:dyDescent="0.4">
      <c r="A21" s="278"/>
      <c r="B21" s="43" t="s">
        <v>160</v>
      </c>
      <c r="C21" s="272"/>
      <c r="D21" s="272"/>
      <c r="E21" s="272"/>
      <c r="F21" s="272"/>
    </row>
    <row r="22" spans="1:6" ht="15" thickBot="1" x14ac:dyDescent="0.4">
      <c r="A22" s="278"/>
      <c r="B22" s="45" t="s">
        <v>161</v>
      </c>
      <c r="C22" s="274"/>
      <c r="D22" s="274"/>
      <c r="E22" s="274"/>
      <c r="F22" s="274"/>
    </row>
  </sheetData>
  <mergeCells count="24">
    <mergeCell ref="A6:F6"/>
    <mergeCell ref="A7:A14"/>
    <mergeCell ref="C7:F7"/>
    <mergeCell ref="C8:F8"/>
    <mergeCell ref="C9:F9"/>
    <mergeCell ref="C10:F10"/>
    <mergeCell ref="C11:F11"/>
    <mergeCell ref="C12:F12"/>
    <mergeCell ref="C13:F13"/>
    <mergeCell ref="C14:F14"/>
    <mergeCell ref="A1:F1"/>
    <mergeCell ref="A2:F2"/>
    <mergeCell ref="A3:F3"/>
    <mergeCell ref="A4:F4"/>
    <mergeCell ref="A5:F5"/>
    <mergeCell ref="A15:A22"/>
    <mergeCell ref="C15:F15"/>
    <mergeCell ref="C16:F16"/>
    <mergeCell ref="C17:F17"/>
    <mergeCell ref="C18:F18"/>
    <mergeCell ref="C19:F19"/>
    <mergeCell ref="C20:F20"/>
    <mergeCell ref="C21:F21"/>
    <mergeCell ref="C22:F22"/>
  </mergeCells>
  <hyperlinks>
    <hyperlink ref="C10" r:id="rId1" xr:uid="{00000000-0004-0000-0300-000000000000}"/>
  </hyperlinks>
  <pageMargins left="0.7" right="0.7" top="0.75" bottom="0.75" header="0.511811023622047" footer="0.511811023622047"/>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Normal="100" workbookViewId="0">
      <selection activeCell="B3" sqref="B3"/>
    </sheetView>
  </sheetViews>
  <sheetFormatPr defaultColWidth="8.81640625" defaultRowHeight="14.5" x14ac:dyDescent="0.35"/>
  <cols>
    <col min="1" max="1" width="6.453125" customWidth="1"/>
    <col min="2" max="2" width="20.7265625" customWidth="1"/>
    <col min="3" max="3" width="154.453125" customWidth="1"/>
    <col min="4" max="4" width="4.453125" customWidth="1"/>
  </cols>
  <sheetData>
    <row r="1" spans="1:4" ht="15.5" x14ac:dyDescent="0.35">
      <c r="A1" s="284" t="s">
        <v>163</v>
      </c>
      <c r="B1" s="284"/>
      <c r="C1" s="46" t="s">
        <v>164</v>
      </c>
    </row>
    <row r="2" spans="1:4" ht="63.75" customHeight="1" x14ac:dyDescent="0.35">
      <c r="A2" s="47">
        <v>1</v>
      </c>
      <c r="B2" s="48" t="s">
        <v>165</v>
      </c>
      <c r="C2" s="49" t="s">
        <v>166</v>
      </c>
      <c r="D2" s="1"/>
    </row>
    <row r="3" spans="1:4" ht="61.5" customHeight="1" x14ac:dyDescent="0.35">
      <c r="A3" s="47">
        <v>2</v>
      </c>
      <c r="B3" s="48" t="s">
        <v>167</v>
      </c>
      <c r="C3" s="49" t="s">
        <v>168</v>
      </c>
      <c r="D3" s="1"/>
    </row>
    <row r="4" spans="1:4" ht="45" customHeight="1" x14ac:dyDescent="0.35">
      <c r="A4" s="50">
        <v>3</v>
      </c>
      <c r="B4" s="51" t="s">
        <v>7</v>
      </c>
      <c r="C4" s="52" t="s">
        <v>169</v>
      </c>
      <c r="D4" s="1"/>
    </row>
    <row r="5" spans="1:4" ht="16.5" customHeight="1" x14ac:dyDescent="0.35"/>
    <row r="6" spans="1:4" ht="16.5" customHeight="1" x14ac:dyDescent="0.35"/>
    <row r="7" spans="1:4" ht="16.5" customHeight="1" x14ac:dyDescent="0.35"/>
    <row r="8" spans="1:4" ht="16.5" customHeight="1" x14ac:dyDescent="0.35"/>
    <row r="9" spans="1:4" ht="16.5" customHeight="1" x14ac:dyDescent="0.35"/>
  </sheetData>
  <mergeCells count="1">
    <mergeCell ref="A1:B1"/>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Course Details</vt:lpstr>
      <vt:lpstr>(2) Course Outline</vt:lpstr>
      <vt:lpstr>(3) Assessment Outline</vt:lpstr>
      <vt:lpstr>(4) Course Resource </vt:lpstr>
      <vt:lpstr>(5) Instructor Details</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 Keng Boon</dc:creator>
  <cp:keywords/>
  <dc:description/>
  <cp:lastModifiedBy>Thia Wei Soon</cp:lastModifiedBy>
  <cp:revision>8</cp:revision>
  <dcterms:created xsi:type="dcterms:W3CDTF">2019-01-16T06:33:31Z</dcterms:created>
  <dcterms:modified xsi:type="dcterms:W3CDTF">2026-01-08T06:03:54Z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298231-ee28-4c9e-9ffa-238d0040efda_Enabled">
    <vt:lpwstr>true</vt:lpwstr>
  </property>
  <property fmtid="{D5CDD505-2E9C-101B-9397-08002B2CF9AE}" pid="3" name="MSIP_Label_be298231-ee28-4c9e-9ffa-238d0040efda_SetDate">
    <vt:lpwstr>2026-01-08T05:59:19Z</vt:lpwstr>
  </property>
  <property fmtid="{D5CDD505-2E9C-101B-9397-08002B2CF9AE}" pid="4" name="MSIP_Label_be298231-ee28-4c9e-9ffa-238d0040efda_Method">
    <vt:lpwstr>Privileged</vt:lpwstr>
  </property>
  <property fmtid="{D5CDD505-2E9C-101B-9397-08002B2CF9AE}" pid="5" name="MSIP_Label_be298231-ee28-4c9e-9ffa-238d0040efda_Name">
    <vt:lpwstr>Public</vt:lpwstr>
  </property>
  <property fmtid="{D5CDD505-2E9C-101B-9397-08002B2CF9AE}" pid="6" name="MSIP_Label_be298231-ee28-4c9e-9ffa-238d0040efda_SiteId">
    <vt:lpwstr>3476b776-e990-4f72-b950-62489831623d</vt:lpwstr>
  </property>
  <property fmtid="{D5CDD505-2E9C-101B-9397-08002B2CF9AE}" pid="7" name="MSIP_Label_be298231-ee28-4c9e-9ffa-238d0040efda_ActionId">
    <vt:lpwstr>05d4d3bd-3644-43a7-93fc-741f554c8597</vt:lpwstr>
  </property>
  <property fmtid="{D5CDD505-2E9C-101B-9397-08002B2CF9AE}" pid="8" name="MSIP_Label_be298231-ee28-4c9e-9ffa-238d0040efda_ContentBits">
    <vt:lpwstr>0</vt:lpwstr>
  </property>
  <property fmtid="{D5CDD505-2E9C-101B-9397-08002B2CF9AE}" pid="9" name="MSIP_Label_be298231-ee28-4c9e-9ffa-238d0040efda_Tag">
    <vt:lpwstr>10, 0, 1, 1</vt:lpwstr>
  </property>
</Properties>
</file>