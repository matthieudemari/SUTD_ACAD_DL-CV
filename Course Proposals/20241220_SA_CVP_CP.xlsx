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weisoon_thia\OneDrive - Singapore University of Technology and Design\Desktop_2025\Product Team\New MMDS\Deep Learning\"/>
    </mc:Choice>
  </mc:AlternateContent>
  <xr:revisionPtr revIDLastSave="0" documentId="13_ncr:1_{28754680-61BE-4395-AD04-507CA6921730}" xr6:coauthVersionLast="47" xr6:coauthVersionMax="47" xr10:uidLastSave="{00000000-0000-0000-0000-000000000000}"/>
  <bookViews>
    <workbookView xWindow="-110" yWindow="-110" windowWidth="19420" windowHeight="11500" tabRatio="860" xr2:uid="{00000000-000D-0000-FFFF-FFFF00000000}"/>
  </bookViews>
  <sheets>
    <sheet name="(1) Course Details" sheetId="1" r:id="rId1"/>
    <sheet name="(2) Course Outline" sheetId="2" r:id="rId2"/>
    <sheet name="(3) Assessment Outline" sheetId="6" r:id="rId3"/>
    <sheet name="(4) Course Resource " sheetId="3" r:id="rId4"/>
    <sheet name="(5) Instructor Details" sheetId="4" r:id="rId5"/>
    <sheet name="Glossary" sheetId="5" r:id="rId6"/>
  </sheets>
  <definedNames>
    <definedName name="NMC" localSheetId="2">#REF!</definedName>
    <definedName name="NMC">#REF!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28" i="3" l="1"/>
  <c r="G54" i="2" l="1"/>
  <c r="D54" i="2"/>
  <c r="C54" i="2"/>
  <c r="H52" i="2"/>
  <c r="H51" i="2"/>
  <c r="H50" i="2"/>
  <c r="H49" i="2"/>
  <c r="H47" i="2"/>
  <c r="H46" i="2"/>
  <c r="H45" i="2"/>
  <c r="H44" i="2"/>
  <c r="H43" i="2"/>
  <c r="H42" i="2"/>
  <c r="H41" i="2"/>
  <c r="H40" i="2"/>
  <c r="H38" i="2"/>
  <c r="H37" i="2"/>
  <c r="H36" i="2"/>
  <c r="H35" i="2"/>
  <c r="H34" i="2"/>
  <c r="H33" i="2"/>
  <c r="H32" i="2"/>
  <c r="H31" i="2"/>
  <c r="H29" i="2"/>
  <c r="H28" i="2"/>
  <c r="H27" i="2"/>
  <c r="H26" i="2"/>
  <c r="H25" i="2"/>
  <c r="H24" i="2"/>
  <c r="H23" i="2"/>
  <c r="H22" i="2"/>
  <c r="H20" i="2"/>
  <c r="H18" i="2"/>
  <c r="H17" i="2"/>
  <c r="H16" i="2"/>
  <c r="H15" i="2"/>
  <c r="H14" i="2"/>
  <c r="H13" i="2"/>
  <c r="H11" i="2"/>
  <c r="H9" i="2"/>
  <c r="H8" i="2"/>
  <c r="B46" i="6"/>
  <c r="D30" i="6"/>
  <c r="D29" i="6"/>
  <c r="D28" i="6"/>
  <c r="H56" i="2" l="1"/>
  <c r="H54" i="2"/>
</calcChain>
</file>

<file path=xl/sharedStrings.xml><?xml version="1.0" encoding="utf-8"?>
<sst xmlns="http://schemas.openxmlformats.org/spreadsheetml/2006/main" count="274" uniqueCount="211">
  <si>
    <t>New Course Proposal Form for SUTD Academy</t>
  </si>
  <si>
    <t>(1) Course Details</t>
  </si>
  <si>
    <r>
      <rPr>
        <sz val="14"/>
        <color rgb="FF000000"/>
        <rFont val="Calibri"/>
        <family val="2"/>
        <charset val="1"/>
      </rPr>
      <t>(a) Please select from the above droplist for the form intend.</t>
    </r>
    <r>
      <rPr>
        <b/>
        <sz val="14"/>
        <color rgb="FFC00000"/>
        <rFont val="Calibri"/>
        <family val="2"/>
        <charset val="1"/>
      </rPr>
      <t xml:space="preserve"> </t>
    </r>
    <r>
      <rPr>
        <b/>
        <sz val="18"/>
        <color rgb="FFC00000"/>
        <rFont val="Calibri"/>
        <family val="2"/>
        <charset val="1"/>
      </rPr>
      <t>^^^</t>
    </r>
  </si>
  <si>
    <t xml:space="preserve">(b) All sections below must be completed by filling in the blank spaces </t>
  </si>
  <si>
    <t>Course Title :</t>
  </si>
  <si>
    <t>Course Level :</t>
  </si>
  <si>
    <t>Please kindly select from the droplists. For more informations, refer to Glossary tab.</t>
  </si>
  <si>
    <t>Advanced Level</t>
  </si>
  <si>
    <t>Course Duration (Days) :</t>
  </si>
  <si>
    <t>Indicate number of days. Each day consists of 7 contact hours and 1 hour lunch. (9am - 5pm)</t>
  </si>
  <si>
    <t xml:space="preserve">Maximum Class Size : </t>
  </si>
  <si>
    <t>Course Description :</t>
  </si>
  <si>
    <t>Describe the objectives of the course and how it seeks to equip learners with the necessary skills for the relevant job roles. Explain how the learners apply the skills in his/her work.</t>
  </si>
  <si>
    <t>Learning Outcome</t>
  </si>
  <si>
    <r>
      <rPr>
        <i/>
        <sz val="10"/>
        <color rgb="FF203864"/>
        <rFont val="Calibri"/>
        <family val="2"/>
        <charset val="1"/>
      </rPr>
      <t xml:space="preserve">(Example)
By the end of this course, participants should be able to / can expect to:
</t>
    </r>
    <r>
      <rPr>
        <i/>
        <sz val="10"/>
        <color rgb="FFC00000"/>
        <rFont val="Calibri"/>
        <family val="2"/>
        <charset val="1"/>
      </rPr>
      <t>a.</t>
    </r>
    <r>
      <rPr>
        <i/>
        <sz val="10"/>
        <color rgb="FF203864"/>
        <rFont val="Calibri"/>
        <family val="2"/>
        <charset val="1"/>
      </rPr>
      <t xml:space="preserve">  Perform the deployment role for a junior data scientist and / or a data engineering role
</t>
    </r>
    <r>
      <rPr>
        <i/>
        <sz val="10"/>
        <color rgb="FFC00000"/>
        <rFont val="Calibri"/>
        <family val="2"/>
        <charset val="1"/>
      </rPr>
      <t>b.</t>
    </r>
    <r>
      <rPr>
        <i/>
        <sz val="10"/>
        <color rgb="FF203864"/>
        <rFont val="Calibri"/>
        <family val="2"/>
        <charset val="1"/>
      </rPr>
      <t xml:space="preserve">Understand the types of data and databases
</t>
    </r>
    <r>
      <rPr>
        <i/>
        <sz val="10"/>
        <color rgb="FFC00000"/>
        <rFont val="Calibri"/>
        <family val="2"/>
        <charset val="1"/>
      </rPr>
      <t>c</t>
    </r>
    <r>
      <rPr>
        <i/>
        <sz val="10"/>
        <color rgb="FF203864"/>
        <rFont val="Calibri"/>
        <family val="2"/>
        <charset val="1"/>
      </rPr>
      <t xml:space="preserve">. Appreciate the use of data dictionary and harness the potential metadata for data science </t>
    </r>
  </si>
  <si>
    <t>Lists down the learning outcome of the course.</t>
  </si>
  <si>
    <t>Target Audience</t>
  </si>
  <si>
    <r>
      <rPr>
        <i/>
        <sz val="10"/>
        <color rgb="FF203864"/>
        <rFont val="Calibri"/>
        <family val="2"/>
        <charset val="1"/>
      </rPr>
      <t xml:space="preserve">(Example)
</t>
    </r>
    <r>
      <rPr>
        <i/>
        <sz val="10"/>
        <color rgb="FFC00000"/>
        <rFont val="Calibri"/>
        <family val="2"/>
        <charset val="1"/>
      </rPr>
      <t>a</t>
    </r>
    <r>
      <rPr>
        <i/>
        <sz val="10"/>
        <color rgb="FF203864"/>
        <rFont val="Calibri"/>
        <family val="2"/>
        <charset val="1"/>
      </rPr>
      <t xml:space="preserve">.Participants in roles which require understanding and deployment of database in the context for data science.
</t>
    </r>
    <r>
      <rPr>
        <i/>
        <sz val="10"/>
        <color rgb="FFC00000"/>
        <rFont val="Calibri"/>
        <family val="2"/>
        <charset val="1"/>
      </rPr>
      <t>b.</t>
    </r>
    <r>
      <rPr>
        <i/>
        <sz val="10"/>
        <color rgb="FF203864"/>
        <rFont val="Calibri"/>
        <family val="2"/>
        <charset val="1"/>
      </rPr>
      <t xml:space="preserve">Aspiring data analysts/database administrators/engineers or data engineers looking to acquire skills .
</t>
    </r>
    <r>
      <rPr>
        <i/>
        <sz val="10"/>
        <color rgb="FFC00000"/>
        <rFont val="Calibri"/>
        <family val="2"/>
        <charset val="1"/>
      </rPr>
      <t xml:space="preserve">c. </t>
    </r>
    <r>
      <rPr>
        <i/>
        <sz val="10"/>
        <color rgb="FF203864"/>
        <rFont val="Calibri"/>
        <family val="2"/>
        <charset val="1"/>
      </rPr>
      <t>Ideal for participants who are in or looking to acquire skills for roles such as entry-level Data Analysts/Data Engineers.</t>
    </r>
  </si>
  <si>
    <r>
      <rPr>
        <i/>
        <sz val="10"/>
        <color rgb="FF000000"/>
        <rFont val="Calibri"/>
        <family val="2"/>
        <charset val="1"/>
      </rPr>
      <t xml:space="preserve">State the occupations/job roles that the course caters to.
</t>
    </r>
    <r>
      <rPr>
        <i/>
        <sz val="10"/>
        <color rgb="FF595959"/>
        <rFont val="Calibri"/>
        <family val="2"/>
        <charset val="1"/>
      </rPr>
      <t>Who should attend? 
(Demographics, Positions / Job Title, Industry, Nature of work, etc.)</t>
    </r>
  </si>
  <si>
    <t>Minimum Entry Requirements</t>
  </si>
  <si>
    <r>
      <rPr>
        <i/>
        <sz val="10"/>
        <color rgb="FF203864"/>
        <rFont val="Calibri"/>
        <family val="2"/>
        <charset val="1"/>
      </rPr>
      <t xml:space="preserve">(Example)
</t>
    </r>
    <r>
      <rPr>
        <i/>
        <sz val="10"/>
        <color rgb="FFC00000"/>
        <rFont val="Calibri"/>
        <family val="2"/>
        <charset val="1"/>
      </rPr>
      <t>a.</t>
    </r>
    <r>
      <rPr>
        <i/>
        <sz val="10"/>
        <color rgb="FF203864"/>
        <rFont val="Calibri"/>
        <family val="2"/>
        <charset val="1"/>
      </rPr>
      <t xml:space="preserve"> O level Mathematics Qualifications 
</t>
    </r>
    <r>
      <rPr>
        <i/>
        <sz val="10"/>
        <color rgb="FFC00000"/>
        <rFont val="Calibri"/>
        <family val="2"/>
        <charset val="1"/>
      </rPr>
      <t>b.</t>
    </r>
    <r>
      <rPr>
        <i/>
        <sz val="10"/>
        <color rgb="FF203864"/>
        <rFont val="Calibri"/>
        <family val="2"/>
        <charset val="1"/>
      </rPr>
      <t xml:space="preserve"> Basic knowledge of programming
</t>
    </r>
    <r>
      <rPr>
        <i/>
        <sz val="10"/>
        <color rgb="FFC00000"/>
        <rFont val="Calibri"/>
        <family val="2"/>
        <charset val="1"/>
      </rPr>
      <t xml:space="preserve">c. </t>
    </r>
    <r>
      <rPr>
        <i/>
        <sz val="10"/>
        <color rgb="FF203864"/>
        <rFont val="Calibri"/>
        <family val="2"/>
        <charset val="1"/>
      </rPr>
      <t xml:space="preserve">Basic IT knowledge </t>
    </r>
  </si>
  <si>
    <t>Indicate the minimum criteria to be satisfied by a student who would be enrolled in the course.</t>
  </si>
  <si>
    <t>Mode of assessment</t>
  </si>
  <si>
    <r>
      <rPr>
        <i/>
        <sz val="10"/>
        <color rgb="FF203864"/>
        <rFont val="Calibri"/>
        <family val="2"/>
        <charset val="1"/>
      </rPr>
      <t xml:space="preserve">(Example)
</t>
    </r>
    <r>
      <rPr>
        <i/>
        <sz val="10"/>
        <color rgb="FFC00000"/>
        <rFont val="Calibri"/>
        <family val="2"/>
        <charset val="1"/>
      </rPr>
      <t>a.</t>
    </r>
    <r>
      <rPr>
        <i/>
        <sz val="10"/>
        <color rgb="FF203864"/>
        <rFont val="Calibri"/>
        <family val="2"/>
        <charset val="1"/>
      </rPr>
      <t xml:space="preserve"> Written Test
</t>
    </r>
    <r>
      <rPr>
        <i/>
        <sz val="10"/>
        <color rgb="FFC00000"/>
        <rFont val="Calibri"/>
        <family val="2"/>
        <charset val="1"/>
      </rPr>
      <t>b.</t>
    </r>
    <r>
      <rPr>
        <i/>
        <sz val="10"/>
        <color rgb="FF203864"/>
        <rFont val="Calibri"/>
        <family val="2"/>
        <charset val="1"/>
      </rPr>
      <t xml:space="preserve"> Online Quiz
</t>
    </r>
    <r>
      <rPr>
        <i/>
        <sz val="10"/>
        <color rgb="FFC00000"/>
        <rFont val="Calibri"/>
        <family val="2"/>
        <charset val="1"/>
      </rPr>
      <t xml:space="preserve">c. </t>
    </r>
    <r>
      <rPr>
        <i/>
        <sz val="10"/>
        <color rgb="FF002060"/>
        <rFont val="Calibri"/>
        <family val="2"/>
        <charset val="1"/>
      </rPr>
      <t xml:space="preserve">Oral Assessment
</t>
    </r>
  </si>
  <si>
    <t xml:space="preserve">Indicate the mode of assessment </t>
  </si>
  <si>
    <t>1) Class participation, 10%
2) Quizzes, 30%
3) Project, 60%</t>
  </si>
  <si>
    <t>(2) Course Outline</t>
  </si>
  <si>
    <t xml:space="preserve">(a)  All sections below must be completed by filling in the blank spaces </t>
  </si>
  <si>
    <r>
      <rPr>
        <b/>
        <sz val="14"/>
        <color rgb="FF000000"/>
        <rFont val="Calibri"/>
        <family val="2"/>
        <charset val="1"/>
      </rPr>
      <t xml:space="preserve">Please plan according to the following parameters = </t>
    </r>
    <r>
      <rPr>
        <b/>
        <sz val="20"/>
        <color rgb="FFFF0000"/>
        <rFont val="Calibri"/>
        <family val="2"/>
        <charset val="1"/>
      </rPr>
      <t>1 programme/course day = 7  hours</t>
    </r>
    <r>
      <rPr>
        <b/>
        <sz val="14"/>
        <color rgb="FF000000"/>
        <rFont val="Calibri"/>
        <family val="2"/>
        <charset val="1"/>
      </rPr>
      <t xml:space="preserve"> ( excluding 1 hour lunch break)</t>
    </r>
  </si>
  <si>
    <t>Topic</t>
  </si>
  <si>
    <r>
      <rPr>
        <b/>
        <sz val="12"/>
        <rFont val="Calibri"/>
        <family val="2"/>
        <charset val="1"/>
      </rPr>
      <t>Duration</t>
    </r>
    <r>
      <rPr>
        <b/>
        <sz val="18"/>
        <color rgb="FFFF0000"/>
        <rFont val="Calibri"/>
        <family val="2"/>
        <charset val="1"/>
      </rPr>
      <t xml:space="preserve"> (hours) 
</t>
    </r>
    <r>
      <rPr>
        <b/>
        <sz val="12"/>
        <rFont val="Calibri"/>
        <family val="2"/>
        <charset val="1"/>
      </rPr>
      <t>(Indicate breakdown in different modes &amp; total duration)</t>
    </r>
  </si>
  <si>
    <t>Date</t>
  </si>
  <si>
    <t>a) Facilitated Learning (F2F)</t>
  </si>
  <si>
    <t>b) E-Learning</t>
  </si>
  <si>
    <t>c) Project</t>
  </si>
  <si>
    <t>d) Assessment</t>
  </si>
  <si>
    <t>e) Practical/ Lab Session</t>
  </si>
  <si>
    <t>Total Duration
(a)+(b)+(c)+(d)+( e)</t>
  </si>
  <si>
    <t>• Introduction of course, reminders of the previous Deep Learning course</t>
  </si>
  <si>
    <t>Day 1</t>
  </si>
  <si>
    <t>Lunch</t>
  </si>
  <si>
    <t>o Discussing the sequential datasets, their uses in data science and the challenge they pose to our deep learning models. A first attempt at building a deep learning model for sequential data.</t>
  </si>
  <si>
    <t>Day 2</t>
  </si>
  <si>
    <t>Day 3</t>
  </si>
  <si>
    <t>Day 4</t>
  </si>
  <si>
    <t>• Adversarial Machine Learning</t>
  </si>
  <si>
    <t>o The ideas and lessons of Adversarial Machine Learning, key concepts and objectives of AML.</t>
  </si>
  <si>
    <t xml:space="preserve">• Gradient-based Adversarial Machine Learning
</t>
  </si>
  <si>
    <t>Day 5</t>
  </si>
  <si>
    <t>Sub-Total</t>
  </si>
  <si>
    <t>Total Training Hours</t>
  </si>
  <si>
    <t>(3) Assessment Outline (Example)</t>
  </si>
  <si>
    <t>Assessment Component</t>
  </si>
  <si>
    <t>Description</t>
  </si>
  <si>
    <t>Involvement</t>
  </si>
  <si>
    <t>Percentage (%)</t>
  </si>
  <si>
    <t>Period</t>
  </si>
  <si>
    <t>Remarks</t>
  </si>
  <si>
    <t>(E.g. Class Participation, Online Quiz, Written Test, Assignment, Team Project, etc.)</t>
  </si>
  <si>
    <t>(Please indicate which lesson/ period)</t>
  </si>
  <si>
    <t>Example:</t>
  </si>
  <si>
    <t>Class Participation</t>
  </si>
  <si>
    <t>Individual</t>
  </si>
  <si>
    <t>Lesson 1</t>
  </si>
  <si>
    <t>5% for each lesson</t>
  </si>
  <si>
    <t xml:space="preserve">In-class Assignment 1 </t>
  </si>
  <si>
    <t>Team</t>
  </si>
  <si>
    <t>Take home Assignment 1</t>
  </si>
  <si>
    <t>In-class Assignment 2</t>
  </si>
  <si>
    <t>Lesson 2</t>
  </si>
  <si>
    <t xml:space="preserve">In-class Online Quiz </t>
  </si>
  <si>
    <t>Lesson 3</t>
  </si>
  <si>
    <t>Take home Assignment 2</t>
  </si>
  <si>
    <t>In-class Assignment 3</t>
  </si>
  <si>
    <t>Lesson 4</t>
  </si>
  <si>
    <t>Team Capstone Project</t>
  </si>
  <si>
    <t>Final Project Presentation</t>
  </si>
  <si>
    <t xml:space="preserve">(a)  All sections below must be completed by filling in the blank spaces. (Recommended to have a good balance between Individal and Team component.) </t>
  </si>
  <si>
    <t>Quizzes</t>
  </si>
  <si>
    <t>Individual Component</t>
  </si>
  <si>
    <t>Team Component</t>
  </si>
  <si>
    <t>`</t>
  </si>
  <si>
    <t>Total</t>
  </si>
  <si>
    <t>(b)  Section below must be completed (for Credit-Bearing Courses under ModularMaster Certificate and/or Graduate Certificate)</t>
  </si>
  <si>
    <t>Component</t>
  </si>
  <si>
    <t>Weightage</t>
  </si>
  <si>
    <t>1 (Room for Improvement)</t>
  </si>
  <si>
    <t>2 (Below Average)</t>
  </si>
  <si>
    <t>3 (Average)</t>
  </si>
  <si>
    <t>4 (Good)</t>
  </si>
  <si>
    <t>5 (Very Good)</t>
  </si>
  <si>
    <t>Problem and Solution</t>
  </si>
  <si>
    <t>The Neural Network was not designed properly from scratch and/or its training is seriously lacking.</t>
  </si>
  <si>
    <t>The Neural Network shows promising results in terms of performance but could benefit from having a better architecture, hyperparameter tuning and/or more training.</t>
  </si>
  <si>
    <t>The Neural Network achieves an acceptable performance, but with some room for improvement. Hyperparameter tuning is investigated, but minimal.</t>
  </si>
  <si>
    <t>The Neural Network has performance on-par with expectations, and has been trained correctly using advanced optimizers. Exploration and hyperparameter tuning are present.</t>
  </si>
  <si>
    <t>The Neural Network achieves a performance that goes beyond expectations. Advanced layers have been implemented (e.g. transformers layers, along with batchnorm/dropout, etc.). Hyperparameter tuning and models explorations is truly qualitative.</t>
  </si>
  <si>
    <t>Documentation</t>
  </si>
  <si>
    <t>The code is undocumented, and not reproducible, lacking some saver/loader functions.</t>
  </si>
  <si>
    <t>There are some comments explaining he code, however, provides no extra context to the code readers. Presented results are difficult to reproduce.</t>
  </si>
  <si>
    <t>There are some comments explaining the code that the readers can’t understand. Results are reproducible, but effort is minimal.</t>
  </si>
  <si>
    <r>
      <t xml:space="preserve">The code is self-documented and easy to understand </t>
    </r>
    <r>
      <rPr>
        <b/>
        <i/>
        <sz val="11"/>
        <color theme="4" tint="-0.499984740745262"/>
        <rFont val="Calibri"/>
        <family val="2"/>
        <scheme val="minor"/>
      </rPr>
      <t xml:space="preserve">or </t>
    </r>
    <r>
      <rPr>
        <i/>
        <sz val="11"/>
        <color theme="4" tint="-0.499984740745262"/>
        <rFont val="Calibri"/>
        <family val="2"/>
        <scheme val="minor"/>
      </rPr>
      <t>there’s an external README file that’s really helpful. Results are reproducible nicely and the procedure to reproduce said results is straightforward.</t>
    </r>
  </si>
  <si>
    <t>The code is written well, easy to understand. The app is documented in a README that someone can set it up and run. Results are easily reproducible and come with additional visuals to help the reader. Possibly a GUI.</t>
  </si>
  <si>
    <t>Presentation and Communication</t>
  </si>
  <si>
    <t>Participant could briefly
present the work and/or unable to
answer questions related to the work.</t>
  </si>
  <si>
    <t>Participant presents the
work and is able to answer some questions related to the work.</t>
  </si>
  <si>
    <t>Participant presents the work and is able to answer most questions related to work.</t>
  </si>
  <si>
    <t>Participant communicates well during presentation and is able to answer most of  the questions related to the work.</t>
  </si>
  <si>
    <t>Participants communicates well during presentation and able to answer all the questions related to the work.</t>
  </si>
  <si>
    <t>Total (this should tally with Section (a))</t>
  </si>
  <si>
    <t>(3) Course Resources</t>
  </si>
  <si>
    <t>Computer Hardware and Software</t>
  </si>
  <si>
    <t>Software/Hardware</t>
  </si>
  <si>
    <t>Requirement/ Sepcifications</t>
  </si>
  <si>
    <t>Est. Cost</t>
  </si>
  <si>
    <t>Proposed Provider</t>
  </si>
  <si>
    <t xml:space="preserve">Please indicate if there is requirement to utilize computer hardware and/or software. Please indicate the specifications of computer hardware and/or software (where applicable) and the proposed provider of the computer hardware and/or software.
</t>
  </si>
  <si>
    <t>Computer</t>
  </si>
  <si>
    <t>Able to run Python 3</t>
  </si>
  <si>
    <t>NA</t>
  </si>
  <si>
    <t>either personal laptop or to be provided by IT/Lab</t>
  </si>
  <si>
    <t>Python 3</t>
  </si>
  <si>
    <t>Numpy, matplotlib, sklearn, scipy, notebook and torch libraries installed.</t>
  </si>
  <si>
    <t>Equipment</t>
  </si>
  <si>
    <t>Please indicate if there is requirement to utilize equipment (for example, 3D printers, laser cutter, measurement equipment, special audio or visual equipment, etc.). Please indicate (where applicable) the specifications of the equipment, the proposed provider of the equipment and the estimated cost.</t>
  </si>
  <si>
    <t>Materials and Consumables</t>
  </si>
  <si>
    <t>Please indicate if there is requirement to utilize materials and consumables (for example, 3D printing materials, wood, electronic components, etc.). Please indicate (where applicable) the specifications of the equipment, the proposed provider of the equipment and the estimated cost.</t>
  </si>
  <si>
    <t>Others</t>
  </si>
  <si>
    <t>Please indicate if there are other requirements. Please indicate (where applicable) the specifications, the proposed provider and the estimated cost.</t>
  </si>
  <si>
    <t>Teaching Assistant or Facilitator</t>
  </si>
  <si>
    <t>Help in Grading purposes and consultation during class.</t>
  </si>
  <si>
    <t>Total Est Cost</t>
  </si>
  <si>
    <t xml:space="preserve">Facilities </t>
  </si>
  <si>
    <t xml:space="preserve">Please indicate if there is special requirement in terms of facility for the conduct of the course. For example Lecture Theatre, Cohort Classroom, etc.
</t>
  </si>
  <si>
    <t>Class Room Seating Arrangement</t>
  </si>
  <si>
    <t>Please indicate if there is preference in the classroom seating arrangement. For example: rows, cluster, U-shaped or other special arrangement.</t>
  </si>
  <si>
    <t>Computer Lab:</t>
  </si>
  <si>
    <t>Use of Lab with Windows/Python 3 installed, could be needed for participants with no personal computer.</t>
  </si>
  <si>
    <t xml:space="preserve">Please indicate if there is requirement for a computer lab or facility with computers.
</t>
  </si>
  <si>
    <t xml:space="preserve"> Fab Lab / Mobile Fab Lab</t>
  </si>
  <si>
    <t xml:space="preserve">Please indicate if there is requirement to utilize the SUTD Fab Lab or Mobile Fab Lab. Do provide details such as exact location of the Fab Lab and the duration (no. of hours) required.
</t>
  </si>
  <si>
    <t>Use of Other Labs</t>
  </si>
  <si>
    <t xml:space="preserve">Please indicate if there is requirement to utilize other lab spaces. Do note of the limit of utilization of 3 sessions of 3 hrs each during the term.
</t>
  </si>
  <si>
    <r>
      <rPr>
        <b/>
        <sz val="14"/>
        <color rgb="FF000000"/>
        <rFont val="Calibri"/>
        <family val="2"/>
        <charset val="1"/>
      </rPr>
      <t xml:space="preserve">(4) Instructors' </t>
    </r>
    <r>
      <rPr>
        <b/>
        <sz val="14"/>
        <color rgb="FF0070C0"/>
        <rFont val="Calibri"/>
        <family val="2"/>
        <charset val="1"/>
      </rPr>
      <t xml:space="preserve"> </t>
    </r>
    <r>
      <rPr>
        <b/>
        <sz val="14"/>
        <color rgb="FF000000"/>
        <rFont val="Calibri"/>
        <family val="2"/>
        <charset val="1"/>
      </rPr>
      <t>Particulars</t>
    </r>
  </si>
  <si>
    <t xml:space="preserve">(a)The fields below has been designed to provide us with the basic information for easy processing of your contract with SUTD Academy </t>
  </si>
  <si>
    <r>
      <rPr>
        <sz val="14"/>
        <color rgb="FF000000"/>
        <rFont val="Calibri"/>
        <family val="2"/>
        <charset val="1"/>
      </rPr>
      <t xml:space="preserve">(c) Complete Section I  </t>
    </r>
    <r>
      <rPr>
        <b/>
        <sz val="20"/>
        <color rgb="FF000000"/>
        <rFont val="Calibri"/>
        <family val="2"/>
        <charset val="1"/>
      </rPr>
      <t>or</t>
    </r>
    <r>
      <rPr>
        <sz val="16"/>
        <color rgb="FF000000"/>
        <rFont val="Calibri"/>
        <family val="2"/>
        <charset val="1"/>
      </rPr>
      <t xml:space="preserve"> </t>
    </r>
    <r>
      <rPr>
        <sz val="14"/>
        <color rgb="FF000000"/>
        <rFont val="Calibri"/>
        <family val="2"/>
        <charset val="1"/>
      </rPr>
      <t xml:space="preserve">Section II. </t>
    </r>
  </si>
  <si>
    <r>
      <rPr>
        <sz val="14"/>
        <color rgb="FF000000"/>
        <rFont val="Calibri"/>
        <family val="2"/>
        <charset val="1"/>
      </rPr>
      <t>(c) Should there be</t>
    </r>
    <r>
      <rPr>
        <b/>
        <sz val="16"/>
        <color rgb="FF385724"/>
        <rFont val="Calibri"/>
        <family val="2"/>
        <charset val="1"/>
      </rPr>
      <t xml:space="preserve"> </t>
    </r>
    <r>
      <rPr>
        <b/>
        <sz val="16"/>
        <color rgb="FF000000"/>
        <rFont val="Calibri"/>
        <family val="2"/>
        <charset val="1"/>
      </rPr>
      <t>more than 1 instructor</t>
    </r>
    <r>
      <rPr>
        <sz val="14"/>
        <color rgb="FF000000"/>
        <rFont val="Calibri"/>
        <family val="2"/>
        <charset val="1"/>
      </rPr>
      <t>, please continue to fill in additional fields below.</t>
    </r>
  </si>
  <si>
    <r>
      <rPr>
        <sz val="28"/>
        <color rgb="FF000000"/>
        <rFont val="Calibri"/>
        <family val="2"/>
        <charset val="1"/>
      </rPr>
      <t xml:space="preserve">INSTRUCTOR </t>
    </r>
    <r>
      <rPr>
        <b/>
        <sz val="28"/>
        <color rgb="FFC00000"/>
        <rFont val="Calibri"/>
        <family val="2"/>
        <charset val="1"/>
      </rPr>
      <t>1</t>
    </r>
    <r>
      <rPr>
        <sz val="28"/>
        <color rgb="FF000000"/>
        <rFont val="Calibri"/>
        <family val="2"/>
        <charset val="1"/>
      </rPr>
      <t xml:space="preserve"> PARTICULARS</t>
    </r>
  </si>
  <si>
    <t>Instructor Name:</t>
  </si>
  <si>
    <t>Matthieu De Mari</t>
  </si>
  <si>
    <t>Current Designations:</t>
  </si>
  <si>
    <t>Contact Number:</t>
  </si>
  <si>
    <t>Email Address:</t>
  </si>
  <si>
    <t>matthieu_demari@sutd.edu.sg</t>
  </si>
  <si>
    <t>Nationality:</t>
  </si>
  <si>
    <t>France</t>
  </si>
  <si>
    <t>Singapore Address:</t>
  </si>
  <si>
    <t>Overseas Address ( for foreigners):</t>
  </si>
  <si>
    <t>INSTRUCTOR 2 PARTICULARS</t>
  </si>
  <si>
    <t>Glossary</t>
  </si>
  <si>
    <t>Descriptor</t>
  </si>
  <si>
    <t xml:space="preserve">Basic Level </t>
  </si>
  <si>
    <t>·         Introductory/ beginner/ 101course
·         For learners who are new to the subject or need some refresher on fundamental content
·         Covers fundamentals/ basic concepts
·         Assumes little/ no prior knowledge</t>
  </si>
  <si>
    <t>Intermediate  Level</t>
  </si>
  <si>
    <t>·         Intermediate / 201 course
·         For learners who have a basic understanding of the topic and looking for more information on more complex topics
·         Covers some complex topics in more detail
·         Assumes some knowledge/ experience required</t>
  </si>
  <si>
    <t>·         Advanced / Experienced / 301 course
·         For learners who already have a good grasp of the intermediate stuff and looking to delve into the complex/ specialised topics Covers complex / specialised topics
·         Assume substantial/ in-depth knowledge experience</t>
  </si>
  <si>
    <t>Marking Rubrics for Team Project</t>
  </si>
  <si>
    <t>• An introduction to Computer Vision and Image Processing</t>
  </si>
  <si>
    <t>o The image datatype and the problem of using Linear layers on images. The convolution operation and its use for image processing.</t>
  </si>
  <si>
    <t>• The Convolution operation and the Conv2D layer</t>
  </si>
  <si>
    <t>o Implementation of the convolution operation with its different flavors. Creating a Conv2d layer in PyTorch, using it in our first Convolutional Neural Network, using it on the MNIST dataset.</t>
  </si>
  <si>
    <t>• State of the Art CV models and their important lessons</t>
  </si>
  <si>
    <t>o Overview of the state-of-the-art models in CV and the important lessons and layers they brought to the world of Computer Vision: Dropout, BatchNorm, LayerNorm, Residuals, etc.</t>
  </si>
  <si>
    <t>o Discussing attack methods using gradients of the model against itself. Defense mechanisms to make our Computer Vision models more robust to attacks.</t>
  </si>
  <si>
    <t>• About Sequential Data and the video data type</t>
  </si>
  <si>
    <t>o A primer on GRUs and LSTMs and a brief introduction to Vision Transformers</t>
  </si>
  <si>
    <t>• Recurrent Neural Networks and Vision Transformer Networks</t>
  </si>
  <si>
    <t>• Introduction to Generative Models</t>
  </si>
  <si>
    <t>o From AutoEncoders to Generative Adversarial Networks.</t>
  </si>
  <si>
    <t>• Advanced Generative Adversarial Networks and their ethical implications</t>
  </si>
  <si>
    <t>o Discussing the advanced implementations of Generative Adversarial Networks, followed by a brief discussion about Ethics and Generative AI.</t>
  </si>
  <si>
    <t>Code validity</t>
  </si>
  <si>
    <t>The code is simply not working and would need a lot of improvement.</t>
  </si>
  <si>
    <t xml:space="preserve">The code has many issues and very few use cases run correctly. </t>
  </si>
  <si>
    <t>The code runs in parts, and fails in other parts because it is incomplete.</t>
  </si>
  <si>
    <t xml:space="preserve"> The code runs and produces the expected results, but is perfectible in some parts.</t>
  </si>
  <si>
    <t>Answers to conceptual questions</t>
  </si>
  <si>
    <t>Conceptual questions quizzes at the end of lectures.</t>
  </si>
  <si>
    <t>Participation</t>
  </si>
  <si>
    <t>Attendance to classes and contributions in class</t>
  </si>
  <si>
    <t>The code is well-written, easy to understand. The code runs and produces the expected results.</t>
  </si>
  <si>
    <t>Senior Lecturer, ISTD/CSD, SUTD</t>
  </si>
  <si>
    <t>Project</t>
  </si>
  <si>
    <t>Students will have to investigate a selected problem and come up with a solution for it. Datasets will be provided and students will simply implement a CV neural network model to address this ML task.</t>
  </si>
  <si>
    <t>Description of Team Project (Example)</t>
  </si>
  <si>
    <t>Description of Team Project</t>
  </si>
  <si>
    <t>Additional conceptual questions related to the project task will be answered by the students. Partial points given for each question correctly answered.</t>
  </si>
  <si>
    <t>The project will have the students investigate a medical dataset and machine learning task, where the inputs are medical imagery data. The objective for the students will be to classify these medical images in a binary or mutli-class classification (presence/absence of certain medical conditions). Students wil be tasked to investigate the dataset, write PyTorch dataloaders, decide on a neural network model, train and evaluate the performance of their model. In addition, the students will have to answer some conceptual questions related to the project. Finally, the students will have to present the result of their work and their findings during a final presentation.</t>
  </si>
  <si>
    <t>Days 1 to 4</t>
  </si>
  <si>
    <t>Days 3 and 4</t>
  </si>
  <si>
    <t>Project consulations (optional)</t>
  </si>
  <si>
    <t>• Conclusion of the course</t>
  </si>
  <si>
    <t>o Closing remarks and what comes next.</t>
  </si>
  <si>
    <t>• Project presentations</t>
  </si>
  <si>
    <t>o Bringing all students up to speed on the content of the previous course, on which this course will build up. Project announcements.</t>
  </si>
  <si>
    <t>o Presentations and grading</t>
  </si>
  <si>
    <t>Computer Vision in Python</t>
  </si>
  <si>
    <t>Participants should possess a basic understanding of the Python programming language and Deep Learning. If students already have a background in data science/machine learning, the requirement can be lifted.</t>
  </si>
  <si>
    <t>This course introduces more advanced neural network models, with applications image and video data. This course also explores the concept of generative AI (Artificial Intelligence), as well as adversarial machine learning in Computer Vision. Overall, this course serves to give students and broad vision of the different directions and applications for Computer Vision. This course assumes students have already a good programming background in Python and PyTorch.</t>
  </si>
  <si>
    <t>By the end of this course, participants should be able to / can expect to: 
• manipulate different types of data, such as images, videos, etc.
• implement neural network models and layers matching the type of data that the model is supposed to process.
• obtain an overview of more advanced computer vision models, such as generative AI (Artificial Intelligence) and adversarial machine learning.</t>
  </si>
  <si>
    <t>Working professionals who are familiar with Python programming, computing or software engineering. This course is suitable for professionals with a small technical background who plan to enter the data science or artificial intelligence field. A background in Deep Learning is also required.
E.g. Data Scientists, Machine Learning Engineers, AI/Deep Learning Engineer, Product Managers, Business Analyst,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</si>
</sst>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quot;$&quot;* #,##0.00_-;_-&quot;$&quot;* &quot;-&quot;??_-;_-@_-"/>
    <numFmt numFmtId="164" formatCode="mm/dd/yyyy"/>
    <numFmt numFmtId="165" formatCode="\$#,##0.00_);[Red]&quot;($&quot;#,##0.00\)"/>
    <numFmt numFmtId="166" formatCode="_-\$* #,##0.00_-;&quot;-$&quot;* #,##0.00_-;_-\$* \-??_-;_-@_-"/>
    <numFmt numFmtId="167" formatCode="_(* #,##0.00_);_(* \(#,##0.00\);_(* &quot;-&quot;??_);_(@_)"/>
  </numFmts>
  <fonts count="49" x14ac:knownFonts="1">
    <font>
      <sz val="11"/>
      <color rgb="FF000000"/>
      <name val="Calibri"/>
      <family val="2"/>
      <charset val="1"/>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000000"/>
      <name val="Calibri"/>
      <family val="2"/>
      <charset val="1"/>
    </font>
    <font>
      <sz val="14"/>
      <color rgb="FF000000"/>
      <name val="Calibri"/>
      <family val="2"/>
      <charset val="1"/>
    </font>
    <font>
      <b/>
      <sz val="14"/>
      <color rgb="FFC00000"/>
      <name val="Calibri"/>
      <family val="2"/>
      <charset val="1"/>
    </font>
    <font>
      <b/>
      <sz val="18"/>
      <color rgb="FFC00000"/>
      <name val="Calibri"/>
      <family val="2"/>
      <charset val="1"/>
    </font>
    <font>
      <b/>
      <sz val="12"/>
      <color rgb="FF000000"/>
      <name val="Calibri"/>
      <family val="2"/>
      <charset val="1"/>
    </font>
    <font>
      <sz val="12"/>
      <color rgb="FF000000"/>
      <name val="Calibri"/>
      <family val="2"/>
      <charset val="1"/>
    </font>
    <font>
      <i/>
      <sz val="10"/>
      <color rgb="FF002060"/>
      <name val="Calibri"/>
      <family val="2"/>
      <charset val="1"/>
    </font>
    <font>
      <i/>
      <sz val="10"/>
      <color rgb="FF000000"/>
      <name val="Calibri"/>
      <family val="2"/>
      <charset val="1"/>
    </font>
    <font>
      <i/>
      <sz val="10"/>
      <color rgb="FF203864"/>
      <name val="Calibri"/>
      <family val="2"/>
      <charset val="1"/>
    </font>
    <font>
      <i/>
      <sz val="10"/>
      <color rgb="FFC00000"/>
      <name val="Calibri"/>
      <family val="2"/>
      <charset val="1"/>
    </font>
    <font>
      <i/>
      <sz val="10"/>
      <color rgb="FF595959"/>
      <name val="Calibri"/>
      <family val="2"/>
      <charset val="1"/>
    </font>
    <font>
      <b/>
      <sz val="20"/>
      <color rgb="FFFF0000"/>
      <name val="Calibri"/>
      <family val="2"/>
      <charset val="1"/>
    </font>
    <font>
      <b/>
      <sz val="12"/>
      <name val="Calibri"/>
      <family val="2"/>
      <charset val="1"/>
    </font>
    <font>
      <b/>
      <sz val="18"/>
      <color rgb="FFFF0000"/>
      <name val="Calibri"/>
      <family val="2"/>
      <charset val="1"/>
    </font>
    <font>
      <b/>
      <sz val="11"/>
      <color rgb="FF000000"/>
      <name val="Calibri"/>
      <family val="2"/>
      <charset val="1"/>
    </font>
    <font>
      <sz val="11"/>
      <name val="Calibri"/>
      <family val="2"/>
      <charset val="1"/>
    </font>
    <font>
      <sz val="12"/>
      <name val="Calibri"/>
      <family val="2"/>
      <charset val="1"/>
    </font>
    <font>
      <b/>
      <sz val="12"/>
      <color rgb="FF002060"/>
      <name val="Calibri"/>
      <family val="2"/>
      <charset val="1"/>
    </font>
    <font>
      <b/>
      <sz val="12"/>
      <color rgb="FF203864"/>
      <name val="Calibri"/>
      <family val="2"/>
      <charset val="1"/>
    </font>
    <font>
      <sz val="11"/>
      <color rgb="FFFF0000"/>
      <name val="Calibri"/>
      <family val="2"/>
      <charset val="1"/>
    </font>
    <font>
      <b/>
      <sz val="14"/>
      <color rgb="FF0070C0"/>
      <name val="Calibri"/>
      <family val="2"/>
      <charset val="1"/>
    </font>
    <font>
      <b/>
      <sz val="20"/>
      <color rgb="FF000000"/>
      <name val="Calibri"/>
      <family val="2"/>
      <charset val="1"/>
    </font>
    <font>
      <sz val="16"/>
      <color rgb="FF000000"/>
      <name val="Calibri"/>
      <family val="2"/>
      <charset val="1"/>
    </font>
    <font>
      <b/>
      <sz val="16"/>
      <color rgb="FF385724"/>
      <name val="Calibri"/>
      <family val="2"/>
      <charset val="1"/>
    </font>
    <font>
      <b/>
      <sz val="16"/>
      <color rgb="FF000000"/>
      <name val="Calibri"/>
      <family val="2"/>
      <charset val="1"/>
    </font>
    <font>
      <sz val="28"/>
      <color rgb="FF000000"/>
      <name val="Calibri"/>
      <family val="2"/>
      <charset val="1"/>
    </font>
    <font>
      <b/>
      <sz val="28"/>
      <color rgb="FFC00000"/>
      <name val="Calibri"/>
      <family val="2"/>
      <charset val="1"/>
    </font>
    <font>
      <u/>
      <sz val="11"/>
      <color rgb="FF0563C1"/>
      <name val="Calibri"/>
      <family val="2"/>
      <charset val="1"/>
    </font>
    <font>
      <sz val="11"/>
      <color rgb="FF000000"/>
      <name val="Calibri"/>
      <family val="2"/>
      <charset val="1"/>
    </font>
    <font>
      <sz val="12"/>
      <color theme="1"/>
      <name val="Calibri"/>
      <family val="2"/>
    </font>
    <font>
      <sz val="12"/>
      <color rgb="FF000000"/>
      <name val="Calibri"/>
      <family val="2"/>
    </font>
    <font>
      <b/>
      <sz val="11"/>
      <color theme="8" tint="-0.499984740745262"/>
      <name val="Calibri"/>
      <family val="2"/>
    </font>
    <font>
      <b/>
      <sz val="11"/>
      <color theme="1"/>
      <name val="Calibri"/>
      <family val="2"/>
      <scheme val="minor"/>
    </font>
    <font>
      <b/>
      <sz val="14"/>
      <color theme="1"/>
      <name val="Calibri"/>
      <family val="2"/>
      <scheme val="minor"/>
    </font>
    <font>
      <sz val="12"/>
      <color theme="1"/>
      <name val="Calibri"/>
      <family val="2"/>
      <scheme val="minor"/>
    </font>
    <font>
      <b/>
      <sz val="12"/>
      <color theme="1"/>
      <name val="Calibri"/>
      <family val="2"/>
      <scheme val="minor"/>
    </font>
    <font>
      <i/>
      <sz val="11"/>
      <color theme="4" tint="-0.499984740745262"/>
      <name val="Calibri"/>
      <family val="2"/>
      <scheme val="minor"/>
    </font>
    <font>
      <b/>
      <sz val="11"/>
      <color theme="4" tint="-0.499984740745262"/>
      <name val="Calibri"/>
      <family val="2"/>
      <scheme val="minor"/>
    </font>
    <font>
      <sz val="11"/>
      <color theme="4" tint="-0.499984740745262"/>
      <name val="Calibri"/>
      <family val="2"/>
      <scheme val="minor"/>
    </font>
    <font>
      <sz val="14"/>
      <color theme="1"/>
      <name val="Calibri"/>
      <family val="2"/>
      <scheme val="minor"/>
    </font>
    <font>
      <b/>
      <sz val="12"/>
      <color theme="8" tint="-0.499984740745262"/>
      <name val="Calibri"/>
      <family val="2"/>
      <scheme val="minor"/>
    </font>
    <font>
      <b/>
      <i/>
      <sz val="11"/>
      <color theme="4" tint="-0.499984740745262"/>
      <name val="Calibri"/>
      <family val="2"/>
      <scheme val="minor"/>
    </font>
    <font>
      <sz val="14"/>
      <color rgb="FF7030A0"/>
      <name val="Calibri"/>
      <family val="2"/>
      <scheme val="minor"/>
    </font>
  </fonts>
  <fills count="22">
    <fill>
      <patternFill patternType="none"/>
    </fill>
    <fill>
      <patternFill patternType="gray125"/>
    </fill>
    <fill>
      <patternFill patternType="solid">
        <fgColor rgb="FFFFCCFF"/>
        <bgColor rgb="FFD9D9D9"/>
      </patternFill>
    </fill>
    <fill>
      <patternFill patternType="solid">
        <fgColor rgb="FFC5E0B4"/>
        <bgColor rgb="FFD9D9D9"/>
      </patternFill>
    </fill>
    <fill>
      <patternFill patternType="solid">
        <fgColor rgb="FFDAE3F3"/>
        <bgColor rgb="FFDEEBF7"/>
      </patternFill>
    </fill>
    <fill>
      <patternFill patternType="solid">
        <fgColor rgb="FFA9D18E"/>
        <bgColor rgb="FFC5E0B4"/>
      </patternFill>
    </fill>
    <fill>
      <patternFill patternType="solid">
        <fgColor rgb="FFFFFFFF"/>
        <bgColor rgb="FFFFF2CC"/>
      </patternFill>
    </fill>
    <fill>
      <patternFill patternType="solid">
        <fgColor rgb="FFD9D9D9"/>
        <bgColor rgb="FFDAE3F3"/>
      </patternFill>
    </fill>
    <fill>
      <patternFill patternType="solid">
        <fgColor rgb="FFFFF2CC"/>
        <bgColor rgb="FFFFE699"/>
      </patternFill>
    </fill>
    <fill>
      <patternFill patternType="solid">
        <fgColor rgb="FFDEEBF7"/>
        <bgColor rgb="FFDAE3F3"/>
      </patternFill>
    </fill>
    <fill>
      <patternFill patternType="solid">
        <fgColor rgb="FFFFE699"/>
        <bgColor rgb="FFFFFF99"/>
      </patternFill>
    </fill>
    <fill>
      <patternFill patternType="solid">
        <fgColor theme="9" tint="0.79998168889431442"/>
        <bgColor rgb="FFD9D9D9"/>
      </patternFill>
    </fill>
    <fill>
      <patternFill patternType="solid">
        <fgColor theme="2" tint="-9.9978637043366805E-2"/>
        <bgColor rgb="FFD9D9D9"/>
      </patternFill>
    </fill>
    <fill>
      <patternFill patternType="solid">
        <fgColor theme="9" tint="0.79998168889431442"/>
        <bgColor indexed="64"/>
      </patternFill>
    </fill>
    <fill>
      <patternFill patternType="solid">
        <fgColor theme="9" tint="0.79998168889431442"/>
        <bgColor rgb="FF9999FF"/>
      </patternFill>
    </fill>
    <fill>
      <patternFill patternType="solid">
        <fgColor theme="2" tint="-9.9978637043366805E-2"/>
        <bgColor indexed="64"/>
      </patternFill>
    </fill>
    <fill>
      <patternFill patternType="solid">
        <fgColor theme="9" tint="0.59999389629810485"/>
        <bgColor rgb="FFD9D9D9"/>
      </patternFill>
    </fill>
    <fill>
      <patternFill patternType="solid">
        <fgColor theme="9" tint="0.59999389629810485"/>
        <bgColor indexed="64"/>
      </patternFill>
    </fill>
    <fill>
      <patternFill patternType="solid">
        <fgColor theme="9" tint="0.59999389629810485"/>
        <bgColor rgb="FF9999FF"/>
      </patternFill>
    </fill>
    <fill>
      <patternFill patternType="solid">
        <fgColor rgb="FFFFCCFF"/>
        <bgColor indexed="64"/>
      </patternFill>
    </fill>
    <fill>
      <patternFill patternType="solid">
        <fgColor theme="8" tint="0.79998168889431442"/>
        <bgColor indexed="64"/>
      </patternFill>
    </fill>
    <fill>
      <patternFill patternType="solid">
        <fgColor theme="7" tint="0.39997558519241921"/>
        <bgColor indexed="64"/>
      </patternFill>
    </fill>
  </fills>
  <borders count="53">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diagonal/>
    </border>
    <border>
      <left/>
      <right style="medium">
        <color auto="1"/>
      </right>
      <top style="medium">
        <color auto="1"/>
      </top>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top style="medium">
        <color auto="1"/>
      </top>
      <bottom/>
      <diagonal/>
    </border>
    <border>
      <left style="medium">
        <color auto="1"/>
      </left>
      <right style="medium">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bottom/>
      <diagonal/>
    </border>
    <border>
      <left style="thin">
        <color auto="1"/>
      </left>
      <right style="thin">
        <color auto="1"/>
      </right>
      <top/>
      <bottom/>
      <diagonal/>
    </border>
    <border>
      <left style="medium">
        <color auto="1"/>
      </left>
      <right/>
      <top style="medium">
        <color auto="1"/>
      </top>
      <bottom style="medium">
        <color auto="1"/>
      </bottom>
      <diagonal/>
    </border>
    <border>
      <left style="medium">
        <color auto="1"/>
      </left>
      <right style="medium">
        <color auto="1"/>
      </right>
      <top/>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style="thin">
        <color auto="1"/>
      </bottom>
      <diagonal/>
    </border>
    <border>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top/>
      <bottom/>
      <diagonal/>
    </border>
    <border>
      <left/>
      <right/>
      <top style="medium">
        <color indexed="64"/>
      </top>
      <bottom style="medium">
        <color indexed="64"/>
      </bottom>
      <diagonal/>
    </border>
    <border>
      <left/>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thin">
        <color auto="1"/>
      </left>
      <right/>
      <top style="medium">
        <color auto="1"/>
      </top>
      <bottom style="thin">
        <color auto="1"/>
      </bottom>
      <diagonal/>
    </border>
    <border>
      <left/>
      <right style="medium">
        <color auto="1"/>
      </right>
      <top style="medium">
        <color auto="1"/>
      </top>
      <bottom style="thin">
        <color auto="1"/>
      </bottom>
      <diagonal/>
    </border>
  </borders>
  <cellStyleXfs count="9">
    <xf numFmtId="0" fontId="0" fillId="0" borderId="0"/>
    <xf numFmtId="166" fontId="34" fillId="0" borderId="0" applyBorder="0" applyProtection="0"/>
    <xf numFmtId="0" fontId="33" fillId="0" borderId="0" applyBorder="0" applyProtection="0"/>
    <xf numFmtId="0" fontId="5" fillId="0" borderId="0"/>
    <xf numFmtId="9" fontId="5" fillId="0" borderId="0" applyFont="0" applyFill="0" applyBorder="0" applyAlignment="0" applyProtection="0"/>
    <xf numFmtId="0" fontId="1" fillId="0" borderId="0"/>
    <xf numFmtId="44" fontId="1" fillId="0" borderId="0" applyFont="0" applyFill="0" applyBorder="0" applyAlignment="0" applyProtection="0"/>
    <xf numFmtId="9" fontId="1" fillId="0" borderId="0" applyFont="0" applyFill="0" applyBorder="0" applyAlignment="0" applyProtection="0"/>
    <xf numFmtId="167" fontId="1" fillId="0" borderId="0" applyFont="0" applyFill="0" applyBorder="0" applyAlignment="0" applyProtection="0"/>
  </cellStyleXfs>
  <cellXfs count="281">
    <xf numFmtId="0" fontId="0" fillId="0" borderId="0" xfId="0"/>
    <xf numFmtId="0" fontId="0" fillId="0" borderId="0" xfId="0" applyAlignment="1">
      <alignment horizontal="center"/>
    </xf>
    <xf numFmtId="0" fontId="7" fillId="0" borderId="0" xfId="0" applyFont="1" applyAlignment="1">
      <alignment vertical="center"/>
    </xf>
    <xf numFmtId="0" fontId="7" fillId="0" borderId="3" xfId="0" applyFont="1" applyBorder="1" applyAlignment="1">
      <alignment vertical="center"/>
    </xf>
    <xf numFmtId="0" fontId="6" fillId="0" borderId="0" xfId="0" applyFont="1" applyAlignment="1">
      <alignment vertical="center"/>
    </xf>
    <xf numFmtId="0" fontId="7" fillId="4" borderId="4" xfId="0" applyFont="1" applyFill="1" applyBorder="1" applyAlignment="1">
      <alignment vertical="center"/>
    </xf>
    <xf numFmtId="0" fontId="7" fillId="4" borderId="5" xfId="0" applyFont="1" applyFill="1" applyBorder="1" applyAlignment="1">
      <alignment vertical="center"/>
    </xf>
    <xf numFmtId="0" fontId="7" fillId="4" borderId="6" xfId="0" applyFont="1" applyFill="1" applyBorder="1" applyAlignment="1">
      <alignment vertical="center"/>
    </xf>
    <xf numFmtId="0" fontId="10" fillId="5" borderId="7" xfId="0" applyFont="1" applyFill="1" applyBorder="1" applyAlignment="1">
      <alignment horizontal="left"/>
    </xf>
    <xf numFmtId="0" fontId="11" fillId="0" borderId="8" xfId="0" applyFont="1" applyBorder="1" applyAlignment="1">
      <alignment horizontal="left" vertical="top"/>
    </xf>
    <xf numFmtId="0" fontId="0" fillId="0" borderId="2" xfId="0" applyBorder="1"/>
    <xf numFmtId="0" fontId="13" fillId="6" borderId="11" xfId="0" applyFont="1" applyFill="1" applyBorder="1" applyAlignment="1">
      <alignment horizontal="left" wrapText="1"/>
    </xf>
    <xf numFmtId="0" fontId="10" fillId="5" borderId="13" xfId="0" applyFont="1" applyFill="1" applyBorder="1" applyAlignment="1">
      <alignment horizontal="left"/>
    </xf>
    <xf numFmtId="0" fontId="14" fillId="0" borderId="15" xfId="0" applyFont="1" applyBorder="1" applyAlignment="1">
      <alignment vertical="top" wrapText="1"/>
    </xf>
    <xf numFmtId="0" fontId="14" fillId="0" borderId="16" xfId="0" applyFont="1" applyBorder="1" applyAlignment="1">
      <alignment vertical="top"/>
    </xf>
    <xf numFmtId="0" fontId="13" fillId="0" borderId="18" xfId="0" applyFont="1" applyBorder="1" applyAlignment="1">
      <alignment horizontal="left" vertical="top" wrapText="1"/>
    </xf>
    <xf numFmtId="0" fontId="11" fillId="0" borderId="19" xfId="0" applyFont="1" applyBorder="1" applyAlignment="1">
      <alignment vertical="top" wrapText="1"/>
    </xf>
    <xf numFmtId="0" fontId="13" fillId="0" borderId="11" xfId="0" applyFont="1" applyBorder="1" applyAlignment="1">
      <alignment horizontal="left" vertical="top" wrapText="1"/>
    </xf>
    <xf numFmtId="0" fontId="11" fillId="0" borderId="12" xfId="0" applyFont="1" applyBorder="1" applyAlignment="1">
      <alignment vertical="top" wrapText="1"/>
    </xf>
    <xf numFmtId="0" fontId="0" fillId="0" borderId="0" xfId="0" applyAlignment="1">
      <alignment horizontal="center" vertical="center"/>
    </xf>
    <xf numFmtId="0" fontId="0" fillId="3" borderId="27" xfId="0" applyFill="1" applyBorder="1" applyAlignment="1">
      <alignment horizontal="center" vertical="center" wrapText="1"/>
    </xf>
    <xf numFmtId="0" fontId="21" fillId="3" borderId="27" xfId="0" applyFont="1" applyFill="1" applyBorder="1" applyAlignment="1">
      <alignment horizontal="center" vertical="center" wrapText="1"/>
    </xf>
    <xf numFmtId="0" fontId="0" fillId="3" borderId="28" xfId="0" applyFill="1" applyBorder="1" applyAlignment="1">
      <alignment horizontal="left" indent="2"/>
    </xf>
    <xf numFmtId="0" fontId="0" fillId="3" borderId="29" xfId="0" applyFill="1" applyBorder="1" applyAlignment="1">
      <alignment horizontal="center" vertical="center" wrapText="1"/>
    </xf>
    <xf numFmtId="0" fontId="21" fillId="3" borderId="29" xfId="0" applyFont="1" applyFill="1" applyBorder="1" applyAlignment="1">
      <alignment horizontal="center" vertical="center" wrapText="1"/>
    </xf>
    <xf numFmtId="0" fontId="20" fillId="3" borderId="30" xfId="0" applyFont="1" applyFill="1" applyBorder="1" applyAlignment="1">
      <alignment vertical="top" wrapText="1"/>
    </xf>
    <xf numFmtId="0" fontId="11" fillId="0" borderId="0" xfId="0" applyFont="1"/>
    <xf numFmtId="0" fontId="11" fillId="0" borderId="0" xfId="0" applyFont="1" applyAlignment="1">
      <alignment horizontal="center" vertical="center"/>
    </xf>
    <xf numFmtId="165" fontId="0" fillId="0" borderId="0" xfId="0" applyNumberFormat="1"/>
    <xf numFmtId="0" fontId="10" fillId="2" borderId="1" xfId="0" applyFont="1" applyFill="1" applyBorder="1" applyAlignment="1">
      <alignment horizontal="center" vertical="center"/>
    </xf>
    <xf numFmtId="166" fontId="34" fillId="0" borderId="0" xfId="1" applyBorder="1" applyProtection="1"/>
    <xf numFmtId="0" fontId="10" fillId="5" borderId="26" xfId="0" applyFont="1" applyFill="1" applyBorder="1" applyAlignment="1">
      <alignment horizontal="center"/>
    </xf>
    <xf numFmtId="166" fontId="10" fillId="4" borderId="27" xfId="1" applyFont="1" applyFill="1" applyBorder="1" applyAlignment="1" applyProtection="1">
      <alignment horizontal="center" vertical="top"/>
    </xf>
    <xf numFmtId="166" fontId="11" fillId="0" borderId="29" xfId="1" applyFont="1" applyBorder="1" applyAlignment="1" applyProtection="1">
      <alignment horizontal="center" vertical="top"/>
    </xf>
    <xf numFmtId="166" fontId="11" fillId="0" borderId="12" xfId="1" applyFont="1" applyBorder="1" applyAlignment="1" applyProtection="1">
      <alignment horizontal="center" vertical="top"/>
    </xf>
    <xf numFmtId="166" fontId="10" fillId="4" borderId="37" xfId="1" applyFont="1" applyFill="1" applyBorder="1" applyAlignment="1" applyProtection="1">
      <alignment horizontal="center" vertical="top"/>
    </xf>
    <xf numFmtId="0" fontId="10" fillId="5" borderId="9" xfId="0" applyFont="1" applyFill="1" applyBorder="1" applyAlignment="1">
      <alignment horizontal="center"/>
    </xf>
    <xf numFmtId="166" fontId="11" fillId="0" borderId="29" xfId="1" applyFont="1" applyBorder="1" applyAlignment="1" applyProtection="1">
      <alignment horizontal="center" vertical="center"/>
    </xf>
    <xf numFmtId="0" fontId="10" fillId="8" borderId="9" xfId="0" applyFont="1" applyFill="1" applyBorder="1" applyAlignment="1">
      <alignment horizontal="center"/>
    </xf>
    <xf numFmtId="166" fontId="11" fillId="0" borderId="0" xfId="1" applyFont="1" applyBorder="1" applyAlignment="1" applyProtection="1">
      <alignment horizontal="center" vertical="top"/>
    </xf>
    <xf numFmtId="0" fontId="11" fillId="5" borderId="9" xfId="0" applyFont="1" applyFill="1" applyBorder="1" applyAlignment="1">
      <alignment horizontal="center"/>
    </xf>
    <xf numFmtId="0" fontId="11" fillId="0" borderId="0" xfId="0" applyFont="1" applyAlignment="1">
      <alignment vertical="top"/>
    </xf>
    <xf numFmtId="0" fontId="11" fillId="5" borderId="28" xfId="0" applyFont="1" applyFill="1" applyBorder="1" applyAlignment="1">
      <alignment horizontal="center"/>
    </xf>
    <xf numFmtId="0" fontId="0" fillId="5" borderId="28" xfId="0" applyFill="1" applyBorder="1" applyAlignment="1">
      <alignment horizontal="center"/>
    </xf>
    <xf numFmtId="0" fontId="0" fillId="7" borderId="39" xfId="0" applyFill="1" applyBorder="1" applyAlignment="1">
      <alignment horizontal="center"/>
    </xf>
    <xf numFmtId="0" fontId="0" fillId="5" borderId="11" xfId="0" applyFill="1" applyBorder="1"/>
    <xf numFmtId="0" fontId="10" fillId="5" borderId="17" xfId="0" applyFont="1" applyFill="1" applyBorder="1" applyAlignment="1">
      <alignment horizont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35" xfId="0" applyBorder="1" applyAlignment="1">
      <alignment horizontal="left" vertical="top" wrapText="1"/>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36" xfId="0" applyBorder="1" applyAlignment="1">
      <alignment horizontal="left" vertical="top" wrapText="1"/>
    </xf>
    <xf numFmtId="0" fontId="36" fillId="0" borderId="14" xfId="0" applyFont="1" applyBorder="1" applyAlignment="1">
      <alignment horizontal="left" vertical="top"/>
    </xf>
    <xf numFmtId="0" fontId="20" fillId="11" borderId="18" xfId="0" applyFont="1" applyFill="1" applyBorder="1" applyAlignment="1">
      <alignment horizontal="left"/>
    </xf>
    <xf numFmtId="0" fontId="0" fillId="11" borderId="37" xfId="0" applyFill="1" applyBorder="1" applyAlignment="1">
      <alignment horizontal="center" vertical="center" wrapText="1"/>
    </xf>
    <xf numFmtId="0" fontId="21" fillId="11" borderId="37" xfId="0" applyFont="1" applyFill="1" applyBorder="1" applyAlignment="1">
      <alignment horizontal="center" vertical="center" wrapText="1"/>
    </xf>
    <xf numFmtId="0" fontId="22" fillId="14" borderId="15" xfId="0" applyFont="1" applyFill="1" applyBorder="1" applyAlignment="1" applyProtection="1">
      <alignment horizontal="center" vertical="center" wrapText="1"/>
      <protection locked="0"/>
    </xf>
    <xf numFmtId="0" fontId="0" fillId="11" borderId="29" xfId="0" applyFill="1" applyBorder="1" applyAlignment="1">
      <alignment horizontal="center" vertical="center" wrapText="1"/>
    </xf>
    <xf numFmtId="0" fontId="21" fillId="11" borderId="29" xfId="0" applyFont="1" applyFill="1" applyBorder="1" applyAlignment="1">
      <alignment horizontal="center" vertical="center" wrapText="1"/>
    </xf>
    <xf numFmtId="0" fontId="22" fillId="14" borderId="35" xfId="0" applyFont="1" applyFill="1" applyBorder="1" applyAlignment="1" applyProtection="1">
      <alignment horizontal="center" vertical="center" wrapText="1"/>
      <protection locked="0"/>
    </xf>
    <xf numFmtId="0" fontId="0" fillId="11" borderId="27" xfId="0" applyFill="1" applyBorder="1" applyAlignment="1">
      <alignment horizontal="center" vertical="center" wrapText="1"/>
    </xf>
    <xf numFmtId="0" fontId="21" fillId="11" borderId="27" xfId="0" applyFont="1" applyFill="1" applyBorder="1" applyAlignment="1">
      <alignment horizontal="center" vertical="center" wrapText="1"/>
    </xf>
    <xf numFmtId="0" fontId="20" fillId="11" borderId="18" xfId="0" applyFont="1" applyFill="1" applyBorder="1" applyAlignment="1">
      <alignment wrapText="1"/>
    </xf>
    <xf numFmtId="0" fontId="0" fillId="11" borderId="12" xfId="0" applyFill="1" applyBorder="1" applyAlignment="1">
      <alignment horizontal="center" vertical="center" wrapText="1"/>
    </xf>
    <xf numFmtId="0" fontId="21" fillId="11" borderId="12" xfId="0" applyFont="1" applyFill="1" applyBorder="1" applyAlignment="1">
      <alignment horizontal="center" vertical="center" wrapText="1"/>
    </xf>
    <xf numFmtId="0" fontId="22" fillId="14" borderId="36" xfId="0" applyFont="1" applyFill="1" applyBorder="1" applyAlignment="1" applyProtection="1">
      <alignment horizontal="center" vertical="center" wrapText="1"/>
      <protection locked="0"/>
    </xf>
    <xf numFmtId="0" fontId="37" fillId="12" borderId="18" xfId="0" applyFont="1" applyFill="1" applyBorder="1" applyAlignment="1">
      <alignment horizontal="center"/>
    </xf>
    <xf numFmtId="0" fontId="20" fillId="16" borderId="30" xfId="0" applyFont="1" applyFill="1" applyBorder="1"/>
    <xf numFmtId="0" fontId="20" fillId="16" borderId="18" xfId="0" applyFont="1" applyFill="1" applyBorder="1" applyAlignment="1">
      <alignment wrapText="1"/>
    </xf>
    <xf numFmtId="0" fontId="22" fillId="18" borderId="15" xfId="0" applyFont="1" applyFill="1" applyBorder="1" applyAlignment="1" applyProtection="1">
      <alignment horizontal="center" vertical="center" wrapText="1"/>
      <protection locked="0"/>
    </xf>
    <xf numFmtId="0" fontId="22" fillId="18" borderId="35" xfId="0" applyFont="1" applyFill="1" applyBorder="1" applyAlignment="1" applyProtection="1">
      <alignment horizontal="center" vertical="center" wrapText="1"/>
      <protection locked="0"/>
    </xf>
    <xf numFmtId="0" fontId="0" fillId="16" borderId="29" xfId="0" applyFill="1" applyBorder="1" applyAlignment="1">
      <alignment horizontal="center" vertical="center" wrapText="1"/>
    </xf>
    <xf numFmtId="0" fontId="21" fillId="16" borderId="29" xfId="0" applyFont="1" applyFill="1" applyBorder="1" applyAlignment="1">
      <alignment horizontal="center" vertical="center" wrapText="1"/>
    </xf>
    <xf numFmtId="0" fontId="0" fillId="16" borderId="12" xfId="0" applyFill="1" applyBorder="1" applyAlignment="1">
      <alignment horizontal="center" vertical="center" wrapText="1"/>
    </xf>
    <xf numFmtId="0" fontId="21" fillId="16" borderId="12" xfId="0" applyFont="1" applyFill="1" applyBorder="1" applyAlignment="1">
      <alignment horizontal="center" vertical="center" wrapText="1"/>
    </xf>
    <xf numFmtId="0" fontId="22" fillId="18" borderId="36" xfId="0" applyFont="1" applyFill="1" applyBorder="1" applyAlignment="1" applyProtection="1">
      <alignment horizontal="center" vertical="center" wrapText="1"/>
      <protection locked="0"/>
    </xf>
    <xf numFmtId="0" fontId="37" fillId="12" borderId="28" xfId="0" applyFont="1" applyFill="1" applyBorder="1" applyAlignment="1">
      <alignment horizontal="center"/>
    </xf>
    <xf numFmtId="0" fontId="23" fillId="8" borderId="24" xfId="0" applyFont="1" applyFill="1" applyBorder="1" applyAlignment="1">
      <alignment horizontal="center" vertical="center"/>
    </xf>
    <xf numFmtId="0" fontId="10" fillId="8" borderId="25" xfId="0" applyFont="1" applyFill="1" applyBorder="1" applyAlignment="1">
      <alignment horizontal="center" vertical="center"/>
    </xf>
    <xf numFmtId="0" fontId="10" fillId="8" borderId="1" xfId="0" applyFont="1" applyFill="1" applyBorder="1" applyAlignment="1">
      <alignment horizontal="center" vertical="center"/>
    </xf>
    <xf numFmtId="0" fontId="0" fillId="14" borderId="37" xfId="0" applyFill="1" applyBorder="1" applyAlignment="1">
      <alignment horizontal="center" vertical="center" wrapText="1"/>
    </xf>
    <xf numFmtId="0" fontId="21" fillId="14" borderId="37" xfId="0" applyFont="1" applyFill="1" applyBorder="1" applyAlignment="1">
      <alignment horizontal="center" vertical="center" wrapText="1"/>
    </xf>
    <xf numFmtId="0" fontId="0" fillId="3" borderId="12" xfId="0" applyFill="1" applyBorder="1" applyAlignment="1">
      <alignment horizontal="center" vertical="center" wrapText="1"/>
    </xf>
    <xf numFmtId="0" fontId="21" fillId="3" borderId="12" xfId="0" applyFont="1" applyFill="1" applyBorder="1" applyAlignment="1">
      <alignment horizontal="center" vertical="center" wrapText="1"/>
    </xf>
    <xf numFmtId="0" fontId="0" fillId="16" borderId="37" xfId="0" applyFill="1" applyBorder="1" applyAlignment="1">
      <alignment horizontal="center" vertical="center" wrapText="1"/>
    </xf>
    <xf numFmtId="0" fontId="21" fillId="16" borderId="37" xfId="0" applyFont="1" applyFill="1" applyBorder="1" applyAlignment="1">
      <alignment horizontal="center" vertical="center" wrapText="1"/>
    </xf>
    <xf numFmtId="0" fontId="22" fillId="18" borderId="34" xfId="0" applyFont="1" applyFill="1" applyBorder="1" applyAlignment="1" applyProtection="1">
      <alignment horizontal="center" vertical="center" wrapText="1"/>
      <protection locked="0"/>
    </xf>
    <xf numFmtId="0" fontId="5" fillId="0" borderId="0" xfId="3"/>
    <xf numFmtId="0" fontId="39" fillId="0" borderId="43" xfId="3" applyFont="1" applyBorder="1" applyAlignment="1">
      <alignment horizontal="center" vertical="center"/>
    </xf>
    <xf numFmtId="0" fontId="39" fillId="0" borderId="44" xfId="3" applyFont="1" applyBorder="1" applyAlignment="1">
      <alignment horizontal="center" vertical="center"/>
    </xf>
    <xf numFmtId="0" fontId="39" fillId="0" borderId="37" xfId="3" applyFont="1" applyBorder="1" applyAlignment="1">
      <alignment horizontal="center" vertical="center"/>
    </xf>
    <xf numFmtId="0" fontId="39" fillId="0" borderId="37" xfId="3" applyFont="1" applyBorder="1" applyAlignment="1">
      <alignment horizontal="center" vertical="center" wrapText="1"/>
    </xf>
    <xf numFmtId="0" fontId="39" fillId="0" borderId="15" xfId="3" applyFont="1" applyBorder="1" applyAlignment="1">
      <alignment horizontal="center" vertical="center" wrapText="1"/>
    </xf>
    <xf numFmtId="0" fontId="40" fillId="0" borderId="40" xfId="3" applyFont="1" applyBorder="1" applyAlignment="1">
      <alignment horizontal="center" vertical="center" wrapText="1"/>
    </xf>
    <xf numFmtId="0" fontId="40" fillId="0" borderId="0" xfId="3" applyFont="1" applyAlignment="1">
      <alignment horizontal="center" vertical="center" wrapText="1"/>
    </xf>
    <xf numFmtId="0" fontId="39" fillId="0" borderId="14" xfId="3" applyFont="1" applyBorder="1" applyAlignment="1">
      <alignment horizontal="center" vertical="center"/>
    </xf>
    <xf numFmtId="0" fontId="41" fillId="0" borderId="31" xfId="3" applyFont="1" applyBorder="1" applyAlignment="1">
      <alignment horizontal="center" vertical="center" wrapText="1"/>
    </xf>
    <xf numFmtId="0" fontId="40" fillId="0" borderId="31" xfId="3" applyFont="1" applyBorder="1" applyAlignment="1">
      <alignment horizontal="center" vertical="center" wrapText="1"/>
    </xf>
    <xf numFmtId="0" fontId="40" fillId="0" borderId="45" xfId="3" applyFont="1" applyBorder="1" applyAlignment="1">
      <alignment horizontal="center" vertical="center" wrapText="1"/>
    </xf>
    <xf numFmtId="0" fontId="42" fillId="0" borderId="9" xfId="3" applyFont="1" applyBorder="1"/>
    <xf numFmtId="0" fontId="42" fillId="0" borderId="46" xfId="3" applyFont="1" applyBorder="1"/>
    <xf numFmtId="0" fontId="43" fillId="0" borderId="37" xfId="3" applyFont="1" applyBorder="1" applyAlignment="1">
      <alignment vertical="center"/>
    </xf>
    <xf numFmtId="0" fontId="44" fillId="0" borderId="15" xfId="3" applyFont="1" applyBorder="1" applyAlignment="1">
      <alignment horizontal="center" vertical="center" wrapText="1"/>
    </xf>
    <xf numFmtId="0" fontId="42" fillId="0" borderId="28" xfId="3" applyFont="1" applyBorder="1"/>
    <xf numFmtId="0" fontId="42" fillId="0" borderId="47" xfId="3" applyFont="1" applyBorder="1"/>
    <xf numFmtId="0" fontId="42" fillId="0" borderId="47" xfId="3" applyFont="1" applyBorder="1" applyAlignment="1">
      <alignment horizontal="left"/>
    </xf>
    <xf numFmtId="9" fontId="42" fillId="0" borderId="29" xfId="4" applyFont="1" applyFill="1" applyBorder="1" applyAlignment="1">
      <alignment horizontal="center" vertical="center"/>
    </xf>
    <xf numFmtId="9" fontId="42" fillId="0" borderId="29" xfId="3" applyNumberFormat="1" applyFont="1" applyBorder="1" applyAlignment="1">
      <alignment vertical="center"/>
    </xf>
    <xf numFmtId="0" fontId="42" fillId="0" borderId="35" xfId="3" applyFont="1" applyBorder="1" applyAlignment="1">
      <alignment horizontal="center" vertical="center"/>
    </xf>
    <xf numFmtId="0" fontId="42" fillId="0" borderId="29" xfId="3" applyFont="1" applyBorder="1" applyAlignment="1">
      <alignment vertical="center"/>
    </xf>
    <xf numFmtId="0" fontId="44" fillId="0" borderId="35" xfId="3" applyFont="1" applyBorder="1" applyAlignment="1">
      <alignment horizontal="center" vertical="center"/>
    </xf>
    <xf numFmtId="0" fontId="42" fillId="0" borderId="28" xfId="3" applyFont="1" applyBorder="1" applyAlignment="1">
      <alignment horizontal="left"/>
    </xf>
    <xf numFmtId="0" fontId="43" fillId="0" borderId="35" xfId="3" applyFont="1" applyBorder="1" applyAlignment="1">
      <alignment horizontal="center"/>
    </xf>
    <xf numFmtId="0" fontId="42" fillId="0" borderId="18" xfId="3" applyFont="1" applyBorder="1"/>
    <xf numFmtId="9" fontId="42" fillId="0" borderId="19" xfId="4" applyFont="1" applyFill="1" applyBorder="1" applyAlignment="1">
      <alignment horizontal="center" vertical="center"/>
    </xf>
    <xf numFmtId="0" fontId="42" fillId="0" borderId="19" xfId="3" applyFont="1" applyBorder="1" applyAlignment="1">
      <alignment vertical="center"/>
    </xf>
    <xf numFmtId="0" fontId="44" fillId="0" borderId="16" xfId="3" applyFont="1" applyBorder="1" applyAlignment="1">
      <alignment horizontal="center" vertical="center"/>
    </xf>
    <xf numFmtId="0" fontId="42" fillId="0" borderId="11" xfId="3" applyFont="1" applyBorder="1"/>
    <xf numFmtId="0" fontId="42" fillId="0" borderId="48" xfId="3" applyFont="1" applyBorder="1"/>
    <xf numFmtId="0" fontId="42" fillId="0" borderId="48" xfId="3" applyFont="1" applyBorder="1" applyAlignment="1">
      <alignment horizontal="left"/>
    </xf>
    <xf numFmtId="9" fontId="42" fillId="0" borderId="12" xfId="4" applyFont="1" applyFill="1" applyBorder="1" applyAlignment="1">
      <alignment horizontal="center" vertical="center"/>
    </xf>
    <xf numFmtId="0" fontId="42" fillId="0" borderId="12" xfId="3" applyFont="1" applyBorder="1" applyAlignment="1">
      <alignment vertical="center"/>
    </xf>
    <xf numFmtId="0" fontId="44" fillId="0" borderId="36" xfId="3" applyFont="1" applyBorder="1" applyAlignment="1">
      <alignment horizontal="center" vertical="center"/>
    </xf>
    <xf numFmtId="0" fontId="39" fillId="0" borderId="0" xfId="3" applyFont="1" applyAlignment="1">
      <alignment vertical="center"/>
    </xf>
    <xf numFmtId="0" fontId="39" fillId="0" borderId="4" xfId="3" applyFont="1" applyBorder="1" applyAlignment="1">
      <alignment horizontal="center" vertical="center"/>
    </xf>
    <xf numFmtId="0" fontId="39" fillId="0" borderId="5" xfId="3" applyFont="1" applyBorder="1" applyAlignment="1">
      <alignment horizontal="center" vertical="center"/>
    </xf>
    <xf numFmtId="0" fontId="41" fillId="0" borderId="14" xfId="3" applyFont="1" applyBorder="1" applyAlignment="1">
      <alignment horizontal="center" vertical="center" wrapText="1"/>
    </xf>
    <xf numFmtId="0" fontId="40" fillId="0" borderId="14" xfId="3" applyFont="1" applyBorder="1" applyAlignment="1">
      <alignment horizontal="center" vertical="center" wrapText="1"/>
    </xf>
    <xf numFmtId="0" fontId="40" fillId="0" borderId="49" xfId="3" applyFont="1" applyBorder="1" applyAlignment="1">
      <alignment horizontal="center" vertical="center" wrapText="1"/>
    </xf>
    <xf numFmtId="9" fontId="5" fillId="0" borderId="14" xfId="3" applyNumberFormat="1" applyBorder="1" applyAlignment="1">
      <alignment horizontal="center" vertical="center"/>
    </xf>
    <xf numFmtId="0" fontId="5" fillId="0" borderId="49" xfId="3" applyBorder="1" applyAlignment="1">
      <alignment horizontal="center" vertical="center"/>
    </xf>
    <xf numFmtId="0" fontId="5" fillId="0" borderId="11" xfId="3" applyBorder="1"/>
    <xf numFmtId="0" fontId="5" fillId="0" borderId="48" xfId="3" applyBorder="1"/>
    <xf numFmtId="0" fontId="5" fillId="0" borderId="48" xfId="3" applyBorder="1" applyAlignment="1">
      <alignment horizontal="left"/>
    </xf>
    <xf numFmtId="9" fontId="5" fillId="0" borderId="12" xfId="3" applyNumberFormat="1" applyBorder="1" applyAlignment="1">
      <alignment horizontal="center" vertical="center"/>
    </xf>
    <xf numFmtId="0" fontId="5" fillId="0" borderId="12" xfId="3" applyBorder="1" applyAlignment="1">
      <alignment vertical="center"/>
    </xf>
    <xf numFmtId="0" fontId="5" fillId="0" borderId="36" xfId="3" applyBorder="1" applyAlignment="1">
      <alignment horizontal="center" vertical="center"/>
    </xf>
    <xf numFmtId="0" fontId="38" fillId="0" borderId="0" xfId="3" applyFont="1" applyAlignment="1">
      <alignment horizontal="left"/>
    </xf>
    <xf numFmtId="10" fontId="0" fillId="0" borderId="0" xfId="4" applyNumberFormat="1" applyFont="1" applyBorder="1"/>
    <xf numFmtId="0" fontId="5" fillId="0" borderId="0" xfId="3" applyAlignment="1">
      <alignment horizontal="center" vertical="center"/>
    </xf>
    <xf numFmtId="0" fontId="38" fillId="0" borderId="0" xfId="3" applyFont="1"/>
    <xf numFmtId="9" fontId="38" fillId="21" borderId="1" xfId="3" applyNumberFormat="1" applyFont="1" applyFill="1" applyBorder="1"/>
    <xf numFmtId="0" fontId="45" fillId="0" borderId="0" xfId="3" applyFont="1"/>
    <xf numFmtId="0" fontId="42" fillId="0" borderId="0" xfId="3" applyFont="1" applyAlignment="1">
      <alignment horizontal="left" vertical="top" wrapText="1"/>
    </xf>
    <xf numFmtId="0" fontId="42" fillId="0" borderId="0" xfId="3" applyFont="1" applyAlignment="1">
      <alignment horizontal="left" vertical="top"/>
    </xf>
    <xf numFmtId="0" fontId="39" fillId="0" borderId="0" xfId="3" applyFont="1"/>
    <xf numFmtId="0" fontId="38" fillId="0" borderId="29" xfId="3" applyFont="1" applyBorder="1"/>
    <xf numFmtId="0" fontId="38" fillId="0" borderId="29" xfId="3" applyFont="1" applyBorder="1" applyAlignment="1">
      <alignment horizontal="center" vertical="center"/>
    </xf>
    <xf numFmtId="0" fontId="42" fillId="0" borderId="29" xfId="3" applyFont="1" applyBorder="1" applyAlignment="1">
      <alignment vertical="top"/>
    </xf>
    <xf numFmtId="9" fontId="42" fillId="0" borderId="29" xfId="3" applyNumberFormat="1" applyFont="1" applyBorder="1" applyAlignment="1">
      <alignment horizontal="left" vertical="top"/>
    </xf>
    <xf numFmtId="0" fontId="42" fillId="0" borderId="29" xfId="3" applyFont="1" applyBorder="1" applyAlignment="1">
      <alignment horizontal="left" vertical="top" wrapText="1"/>
    </xf>
    <xf numFmtId="0" fontId="42" fillId="0" borderId="29" xfId="3" applyFont="1" applyBorder="1" applyAlignment="1">
      <alignment vertical="top" wrapText="1"/>
    </xf>
    <xf numFmtId="0" fontId="38" fillId="0" borderId="0" xfId="3" applyFont="1" applyAlignment="1">
      <alignment horizontal="right"/>
    </xf>
    <xf numFmtId="9" fontId="47" fillId="0" borderId="0" xfId="3" applyNumberFormat="1" applyFont="1" applyAlignment="1">
      <alignment horizontal="left"/>
    </xf>
    <xf numFmtId="0" fontId="48" fillId="0" borderId="0" xfId="3" applyFont="1"/>
    <xf numFmtId="0" fontId="35" fillId="0" borderId="12" xfId="0" applyFont="1" applyBorder="1" applyAlignment="1">
      <alignment vertical="center"/>
    </xf>
    <xf numFmtId="0" fontId="0" fillId="11" borderId="18" xfId="0" applyFill="1" applyBorder="1" applyAlignment="1">
      <alignment horizontal="left" wrapText="1" indent="2"/>
    </xf>
    <xf numFmtId="0" fontId="0" fillId="16" borderId="19" xfId="0" applyFill="1" applyBorder="1" applyAlignment="1">
      <alignment horizontal="center" vertical="center" wrapText="1"/>
    </xf>
    <xf numFmtId="0" fontId="21" fillId="16" borderId="19" xfId="0" applyFont="1" applyFill="1" applyBorder="1" applyAlignment="1">
      <alignment horizontal="center" vertical="center" wrapText="1"/>
    </xf>
    <xf numFmtId="0" fontId="0" fillId="16" borderId="11" xfId="0" applyFill="1" applyBorder="1" applyAlignment="1">
      <alignment horizontal="left" wrapText="1" indent="2"/>
    </xf>
    <xf numFmtId="0" fontId="0" fillId="0" borderId="0" xfId="0" applyAlignment="1">
      <alignment wrapText="1"/>
    </xf>
    <xf numFmtId="0" fontId="20" fillId="11" borderId="30" xfId="0" applyFont="1" applyFill="1" applyBorder="1" applyAlignment="1">
      <alignment wrapText="1"/>
    </xf>
    <xf numFmtId="0" fontId="0" fillId="11" borderId="19" xfId="0" applyFill="1" applyBorder="1" applyAlignment="1">
      <alignment horizontal="center" vertical="center" wrapText="1"/>
    </xf>
    <xf numFmtId="0" fontId="21" fillId="11" borderId="19" xfId="0" applyFont="1" applyFill="1" applyBorder="1" applyAlignment="1">
      <alignment horizontal="center" vertical="center" wrapText="1"/>
    </xf>
    <xf numFmtId="0" fontId="0" fillId="11" borderId="11" xfId="0" applyFill="1" applyBorder="1" applyAlignment="1">
      <alignment horizontal="left" wrapText="1" indent="2"/>
    </xf>
    <xf numFmtId="0" fontId="22" fillId="14" borderId="34" xfId="0" applyFont="1" applyFill="1" applyBorder="1" applyAlignment="1" applyProtection="1">
      <alignment horizontal="center" vertical="center" wrapText="1"/>
      <protection locked="0"/>
    </xf>
    <xf numFmtId="0" fontId="0" fillId="3" borderId="28" xfId="0" applyFill="1" applyBorder="1" applyAlignment="1">
      <alignment horizontal="left" wrapText="1" indent="2"/>
    </xf>
    <xf numFmtId="0" fontId="0" fillId="3" borderId="19" xfId="0" applyFill="1" applyBorder="1" applyAlignment="1">
      <alignment horizontal="center" vertical="center" wrapText="1"/>
    </xf>
    <xf numFmtId="0" fontId="21" fillId="3" borderId="19" xfId="0" applyFont="1" applyFill="1" applyBorder="1" applyAlignment="1">
      <alignment horizontal="center" vertical="center" wrapText="1"/>
    </xf>
    <xf numFmtId="0" fontId="0" fillId="14" borderId="27" xfId="0" applyFill="1" applyBorder="1" applyAlignment="1">
      <alignment horizontal="center" vertical="center" wrapText="1"/>
    </xf>
    <xf numFmtId="0" fontId="21" fillId="14" borderId="27" xfId="0" applyFont="1" applyFill="1" applyBorder="1" applyAlignment="1">
      <alignment horizontal="center" vertical="center" wrapText="1"/>
    </xf>
    <xf numFmtId="166" fontId="34" fillId="0" borderId="0" xfId="1" applyBorder="1" applyAlignment="1" applyProtection="1">
      <alignment horizontal="center" vertical="center"/>
    </xf>
    <xf numFmtId="0" fontId="0" fillId="16" borderId="28" xfId="0" applyFill="1" applyBorder="1" applyAlignment="1">
      <alignment horizontal="left" wrapText="1" indent="2"/>
    </xf>
    <xf numFmtId="0" fontId="0" fillId="11" borderId="28" xfId="0" applyFill="1" applyBorder="1" applyAlignment="1">
      <alignment horizontal="left" vertical="top" wrapText="1" indent="2"/>
    </xf>
    <xf numFmtId="0" fontId="0" fillId="3" borderId="28" xfId="0" applyFill="1" applyBorder="1" applyAlignment="1">
      <alignment horizontal="left" vertical="top" wrapText="1" indent="2"/>
    </xf>
    <xf numFmtId="0" fontId="20" fillId="11" borderId="9" xfId="0" applyFont="1" applyFill="1" applyBorder="1"/>
    <xf numFmtId="0" fontId="20" fillId="3" borderId="7" xfId="0" applyFont="1" applyFill="1" applyBorder="1" applyAlignment="1">
      <alignment vertical="top" wrapText="1"/>
    </xf>
    <xf numFmtId="0" fontId="3" fillId="0" borderId="13" xfId="3" applyFont="1" applyBorder="1" applyAlignment="1">
      <alignment horizontal="center" vertical="center"/>
    </xf>
    <xf numFmtId="0" fontId="3" fillId="0" borderId="50" xfId="3" applyFont="1" applyBorder="1" applyAlignment="1">
      <alignment horizontal="center" vertical="center" wrapText="1"/>
    </xf>
    <xf numFmtId="0" fontId="4" fillId="0" borderId="50" xfId="3" applyFont="1" applyBorder="1" applyAlignment="1">
      <alignment horizontal="center" vertical="center"/>
    </xf>
    <xf numFmtId="0" fontId="4" fillId="0" borderId="13" xfId="3" applyFont="1" applyBorder="1" applyAlignment="1">
      <alignment horizontal="center" vertical="center"/>
    </xf>
    <xf numFmtId="0" fontId="5" fillId="0" borderId="50" xfId="3" applyBorder="1" applyAlignment="1">
      <alignment horizontal="center" vertical="center"/>
    </xf>
    <xf numFmtId="0" fontId="5" fillId="0" borderId="13" xfId="3" applyBorder="1" applyAlignment="1">
      <alignment horizontal="center" vertical="center"/>
    </xf>
    <xf numFmtId="9" fontId="42" fillId="0" borderId="29" xfId="3" applyNumberFormat="1" applyFont="1" applyBorder="1" applyAlignment="1">
      <alignment horizontal="left" vertical="top" wrapText="1"/>
    </xf>
    <xf numFmtId="0" fontId="2" fillId="0" borderId="14" xfId="3" applyFont="1" applyBorder="1" applyAlignment="1">
      <alignment horizontal="center" vertical="center"/>
    </xf>
    <xf numFmtId="0" fontId="35" fillId="0" borderId="19" xfId="0" applyFont="1" applyBorder="1" applyAlignment="1">
      <alignment vertical="top" wrapText="1"/>
    </xf>
    <xf numFmtId="0" fontId="35" fillId="0" borderId="0" xfId="0" applyFont="1" applyAlignment="1">
      <alignment vertical="top" wrapText="1"/>
    </xf>
    <xf numFmtId="0" fontId="6" fillId="2" borderId="1" xfId="0" applyFont="1" applyFill="1" applyBorder="1" applyAlignment="1">
      <alignment horizontal="center" vertical="center"/>
    </xf>
    <xf numFmtId="0" fontId="6" fillId="3" borderId="1" xfId="0" applyFont="1" applyFill="1" applyBorder="1" applyAlignment="1">
      <alignment horizontal="left" vertical="center"/>
    </xf>
    <xf numFmtId="0" fontId="7" fillId="4" borderId="2" xfId="0" applyFont="1" applyFill="1" applyBorder="1" applyAlignment="1">
      <alignment horizontal="left" vertical="center"/>
    </xf>
    <xf numFmtId="0" fontId="10" fillId="5" borderId="9" xfId="0" applyFont="1" applyFill="1" applyBorder="1" applyAlignment="1">
      <alignment horizontal="left"/>
    </xf>
    <xf numFmtId="0" fontId="12" fillId="0" borderId="10" xfId="0" applyFont="1" applyBorder="1" applyAlignment="1">
      <alignment horizontal="center"/>
    </xf>
    <xf numFmtId="0" fontId="14" fillId="0" borderId="20" xfId="0" applyFont="1" applyBorder="1" applyAlignment="1">
      <alignment horizontal="left" vertical="top" wrapText="1"/>
    </xf>
    <xf numFmtId="0" fontId="14" fillId="0" borderId="10" xfId="0" applyFont="1" applyBorder="1" applyAlignment="1">
      <alignment horizontal="left" vertical="top" wrapText="1"/>
    </xf>
    <xf numFmtId="0" fontId="14" fillId="0" borderId="17" xfId="0" applyFont="1" applyBorder="1" applyAlignment="1">
      <alignment horizontal="left" vertical="top" wrapText="1"/>
    </xf>
    <xf numFmtId="164" fontId="20" fillId="14" borderId="37" xfId="0" applyNumberFormat="1" applyFont="1" applyFill="1" applyBorder="1" applyAlignment="1">
      <alignment horizontal="center" vertical="center"/>
    </xf>
    <xf numFmtId="164" fontId="20" fillId="14" borderId="27" xfId="0" applyNumberFormat="1" applyFont="1" applyFill="1" applyBorder="1" applyAlignment="1">
      <alignment horizontal="center" vertical="center"/>
    </xf>
    <xf numFmtId="0" fontId="0" fillId="13" borderId="29" xfId="0" applyFill="1" applyBorder="1" applyAlignment="1">
      <alignment vertical="center"/>
    </xf>
    <xf numFmtId="0" fontId="0" fillId="13" borderId="19" xfId="0" applyFill="1" applyBorder="1" applyAlignment="1">
      <alignment vertical="center"/>
    </xf>
    <xf numFmtId="0" fontId="0" fillId="13" borderId="12" xfId="0" applyFill="1" applyBorder="1" applyAlignment="1">
      <alignment vertical="center"/>
    </xf>
    <xf numFmtId="0" fontId="37" fillId="12" borderId="29" xfId="0" applyFont="1" applyFill="1" applyBorder="1" applyAlignment="1">
      <alignment horizontal="center" vertical="center" wrapText="1"/>
    </xf>
    <xf numFmtId="0" fontId="37" fillId="15" borderId="29" xfId="0" applyFont="1" applyFill="1" applyBorder="1" applyAlignment="1">
      <alignment horizontal="center" vertical="center" wrapText="1"/>
    </xf>
    <xf numFmtId="0" fontId="37" fillId="15" borderId="35" xfId="0" applyFont="1" applyFill="1" applyBorder="1" applyAlignment="1">
      <alignment horizontal="center" vertical="center" wrapText="1"/>
    </xf>
    <xf numFmtId="0" fontId="24" fillId="2" borderId="32" xfId="0" applyFont="1" applyFill="1" applyBorder="1" applyAlignment="1">
      <alignment horizontal="left" vertical="center"/>
    </xf>
    <xf numFmtId="0" fontId="20" fillId="16" borderId="8" xfId="0" applyFont="1" applyFill="1" applyBorder="1" applyAlignment="1">
      <alignment horizontal="center" vertical="center"/>
    </xf>
    <xf numFmtId="0" fontId="0" fillId="17" borderId="31" xfId="0" applyFill="1" applyBorder="1" applyAlignment="1">
      <alignment horizontal="center" vertical="center"/>
    </xf>
    <xf numFmtId="0" fontId="0" fillId="17" borderId="14" xfId="0" applyFill="1" applyBorder="1" applyAlignment="1">
      <alignment horizontal="center" vertical="center"/>
    </xf>
    <xf numFmtId="0" fontId="20" fillId="11" borderId="31" xfId="0" applyFont="1" applyFill="1" applyBorder="1" applyAlignment="1">
      <alignment horizontal="center" vertical="center"/>
    </xf>
    <xf numFmtId="0" fontId="0" fillId="13" borderId="31" xfId="0" applyFill="1" applyBorder="1" applyAlignment="1">
      <alignment horizontal="center" vertical="center"/>
    </xf>
    <xf numFmtId="0" fontId="0" fillId="13" borderId="14" xfId="0" applyFill="1" applyBorder="1" applyAlignment="1">
      <alignment horizontal="center" vertical="center"/>
    </xf>
    <xf numFmtId="0" fontId="20" fillId="3" borderId="8" xfId="0" applyFont="1" applyFill="1" applyBorder="1" applyAlignment="1">
      <alignment horizontal="center" vertical="center"/>
    </xf>
    <xf numFmtId="0" fontId="20" fillId="3" borderId="31" xfId="0" applyFont="1" applyFill="1" applyBorder="1" applyAlignment="1">
      <alignment horizontal="center" vertical="center"/>
    </xf>
    <xf numFmtId="0" fontId="0" fillId="0" borderId="31" xfId="0" applyBorder="1" applyAlignment="1">
      <alignment horizontal="center" vertical="center"/>
    </xf>
    <xf numFmtId="0" fontId="0" fillId="0" borderId="14" xfId="0" applyBorder="1" applyAlignment="1">
      <alignment horizontal="center" vertical="center"/>
    </xf>
    <xf numFmtId="0" fontId="20" fillId="11" borderId="8" xfId="0" applyFont="1" applyFill="1" applyBorder="1" applyAlignment="1">
      <alignment horizontal="center" vertical="center"/>
    </xf>
    <xf numFmtId="0" fontId="6" fillId="3" borderId="2" xfId="0" applyFont="1" applyFill="1" applyBorder="1" applyAlignment="1">
      <alignment horizontal="left" vertical="center"/>
    </xf>
    <xf numFmtId="0" fontId="7" fillId="4" borderId="21" xfId="0" applyFont="1" applyFill="1" applyBorder="1" applyAlignment="1">
      <alignment horizontal="left" vertical="center"/>
    </xf>
    <xf numFmtId="0" fontId="6" fillId="0" borderId="21" xfId="0" applyFont="1" applyBorder="1" applyAlignment="1">
      <alignment horizontal="center" vertical="center"/>
    </xf>
    <xf numFmtId="0" fontId="6" fillId="0" borderId="22" xfId="0" applyFont="1" applyBorder="1" applyAlignment="1">
      <alignment horizontal="center" vertical="center"/>
    </xf>
    <xf numFmtId="0" fontId="6" fillId="0" borderId="32" xfId="0" applyFont="1" applyBorder="1" applyAlignment="1">
      <alignment horizontal="center" vertical="center"/>
    </xf>
    <xf numFmtId="0" fontId="18" fillId="7" borderId="23" xfId="0" applyFont="1" applyFill="1" applyBorder="1" applyAlignment="1">
      <alignment horizontal="center" vertical="center" wrapText="1"/>
    </xf>
    <xf numFmtId="0" fontId="10" fillId="0" borderId="19" xfId="0" applyFont="1" applyBorder="1" applyAlignment="1">
      <alignment horizontal="center" vertical="center" textRotation="90" wrapText="1"/>
    </xf>
    <xf numFmtId="0" fontId="10" fillId="0" borderId="12" xfId="0" applyFont="1" applyBorder="1" applyAlignment="1">
      <alignment horizontal="center" vertical="center" textRotation="90" wrapText="1"/>
    </xf>
    <xf numFmtId="0" fontId="10" fillId="0" borderId="16" xfId="0" applyFont="1" applyBorder="1" applyAlignment="1">
      <alignment horizontal="center" vertical="center" textRotation="90" wrapText="1"/>
    </xf>
    <xf numFmtId="0" fontId="10" fillId="0" borderId="36" xfId="0" applyFont="1" applyBorder="1" applyAlignment="1">
      <alignment horizontal="center" vertical="center" textRotation="90" wrapText="1"/>
    </xf>
    <xf numFmtId="0" fontId="39" fillId="19" borderId="32" xfId="3" applyFont="1" applyFill="1" applyBorder="1" applyAlignment="1">
      <alignment horizontal="center" vertical="center"/>
    </xf>
    <xf numFmtId="0" fontId="39" fillId="19" borderId="41" xfId="3" applyFont="1" applyFill="1" applyBorder="1" applyAlignment="1">
      <alignment horizontal="center" vertical="center"/>
    </xf>
    <xf numFmtId="0" fontId="39" fillId="19" borderId="38" xfId="3" applyFont="1" applyFill="1" applyBorder="1" applyAlignment="1">
      <alignment horizontal="center" vertical="center"/>
    </xf>
    <xf numFmtId="0" fontId="39" fillId="17" borderId="22" xfId="3" applyFont="1" applyFill="1" applyBorder="1" applyAlignment="1">
      <alignment horizontal="left" vertical="center"/>
    </xf>
    <xf numFmtId="0" fontId="39" fillId="17" borderId="42" xfId="3" applyFont="1" applyFill="1" applyBorder="1" applyAlignment="1">
      <alignment horizontal="left" vertical="center"/>
    </xf>
    <xf numFmtId="0" fontId="39" fillId="17" borderId="17" xfId="3" applyFont="1" applyFill="1" applyBorder="1" applyAlignment="1">
      <alignment horizontal="left" vertical="center"/>
    </xf>
    <xf numFmtId="0" fontId="45" fillId="20" borderId="4" xfId="3" applyFont="1" applyFill="1" applyBorder="1" applyAlignment="1">
      <alignment horizontal="left" vertical="center"/>
    </xf>
    <xf numFmtId="0" fontId="45" fillId="20" borderId="5" xfId="3" applyFont="1" applyFill="1" applyBorder="1" applyAlignment="1">
      <alignment horizontal="left" vertical="center"/>
    </xf>
    <xf numFmtId="0" fontId="45" fillId="20" borderId="6" xfId="3" applyFont="1" applyFill="1" applyBorder="1" applyAlignment="1">
      <alignment horizontal="left" vertical="center"/>
    </xf>
    <xf numFmtId="0" fontId="46" fillId="0" borderId="0" xfId="3" applyFont="1" applyAlignment="1">
      <alignment horizontal="left" vertical="center"/>
    </xf>
    <xf numFmtId="0" fontId="39" fillId="0" borderId="32" xfId="3" applyFont="1" applyBorder="1" applyAlignment="1">
      <alignment horizontal="left"/>
    </xf>
    <xf numFmtId="0" fontId="39" fillId="0" borderId="41" xfId="3" applyFont="1" applyBorder="1" applyAlignment="1">
      <alignment horizontal="left"/>
    </xf>
    <xf numFmtId="0" fontId="39" fillId="0" borderId="38" xfId="3" applyFont="1" applyBorder="1" applyAlignment="1">
      <alignment horizontal="left"/>
    </xf>
    <xf numFmtId="0" fontId="42" fillId="0" borderId="32" xfId="3" applyFont="1" applyBorder="1" applyAlignment="1">
      <alignment horizontal="left" vertical="top" wrapText="1"/>
    </xf>
    <xf numFmtId="0" fontId="42" fillId="0" borderId="41" xfId="3" applyFont="1" applyBorder="1" applyAlignment="1">
      <alignment horizontal="left" vertical="top"/>
    </xf>
    <xf numFmtId="0" fontId="42" fillId="0" borderId="38" xfId="3" applyFont="1" applyBorder="1" applyAlignment="1">
      <alignment horizontal="left" vertical="top"/>
    </xf>
    <xf numFmtId="0" fontId="45" fillId="20" borderId="32" xfId="3" applyFont="1" applyFill="1" applyBorder="1" applyAlignment="1">
      <alignment horizontal="left" vertical="center"/>
    </xf>
    <xf numFmtId="0" fontId="45" fillId="20" borderId="41" xfId="3" applyFont="1" applyFill="1" applyBorder="1" applyAlignment="1">
      <alignment horizontal="left" vertical="center"/>
    </xf>
    <xf numFmtId="0" fontId="45" fillId="20" borderId="38" xfId="3" applyFont="1" applyFill="1" applyBorder="1" applyAlignment="1">
      <alignment horizontal="left" vertical="center"/>
    </xf>
    <xf numFmtId="0" fontId="42" fillId="0" borderId="41" xfId="3" applyFont="1" applyBorder="1" applyAlignment="1">
      <alignment horizontal="left" vertical="top" wrapText="1"/>
    </xf>
    <xf numFmtId="0" fontId="42" fillId="0" borderId="38" xfId="3" applyFont="1" applyBorder="1" applyAlignment="1">
      <alignment horizontal="left" vertical="top" wrapText="1"/>
    </xf>
    <xf numFmtId="0" fontId="39" fillId="0" borderId="29" xfId="3" applyFont="1" applyBorder="1" applyAlignment="1">
      <alignment horizontal="left"/>
    </xf>
    <xf numFmtId="0" fontId="6" fillId="3" borderId="33" xfId="0" applyFont="1" applyFill="1" applyBorder="1" applyAlignment="1">
      <alignment horizontal="left" vertical="center"/>
    </xf>
    <xf numFmtId="0" fontId="10" fillId="4" borderId="27" xfId="0" applyFont="1" applyFill="1" applyBorder="1" applyAlignment="1">
      <alignment horizontal="center" vertical="top"/>
    </xf>
    <xf numFmtId="0" fontId="10" fillId="4" borderId="34" xfId="0" applyFont="1" applyFill="1" applyBorder="1" applyAlignment="1">
      <alignment horizontal="center" vertical="top"/>
    </xf>
    <xf numFmtId="0" fontId="13" fillId="0" borderId="11" xfId="0" applyFont="1" applyBorder="1" applyAlignment="1">
      <alignment horizontal="left" vertical="top" wrapText="1"/>
    </xf>
    <xf numFmtId="0" fontId="11" fillId="0" borderId="29" xfId="0" applyFont="1" applyBorder="1" applyAlignment="1">
      <alignment horizontal="center" vertical="center"/>
    </xf>
    <xf numFmtId="0" fontId="11" fillId="0" borderId="29" xfId="0" applyFont="1" applyBorder="1" applyAlignment="1">
      <alignment horizontal="center" vertical="center" wrapText="1"/>
    </xf>
    <xf numFmtId="0" fontId="11" fillId="0" borderId="35" xfId="0" applyFont="1" applyBorder="1" applyAlignment="1">
      <alignment horizontal="center" vertical="center" wrapText="1"/>
    </xf>
    <xf numFmtId="0" fontId="11" fillId="0" borderId="29" xfId="0" applyFont="1" applyBorder="1" applyAlignment="1">
      <alignment horizontal="center" vertical="top" wrapText="1"/>
    </xf>
    <xf numFmtId="0" fontId="11" fillId="0" borderId="35" xfId="0" applyFont="1" applyBorder="1" applyAlignment="1">
      <alignment horizontal="center" vertical="top" wrapText="1"/>
    </xf>
    <xf numFmtId="0" fontId="11" fillId="0" borderId="29" xfId="0" applyFont="1" applyBorder="1" applyAlignment="1">
      <alignment horizontal="center" vertical="top"/>
    </xf>
    <xf numFmtId="0" fontId="11" fillId="0" borderId="35" xfId="0" applyFont="1" applyBorder="1" applyAlignment="1">
      <alignment horizontal="center" vertical="top"/>
    </xf>
    <xf numFmtId="0" fontId="11" fillId="0" borderId="12" xfId="0" applyFont="1" applyBorder="1" applyAlignment="1">
      <alignment horizontal="center" vertical="top"/>
    </xf>
    <xf numFmtId="0" fontId="11" fillId="0" borderId="36" xfId="0" applyFont="1" applyBorder="1" applyAlignment="1">
      <alignment horizontal="center" vertical="top"/>
    </xf>
    <xf numFmtId="0" fontId="10" fillId="4" borderId="37" xfId="0" applyFont="1" applyFill="1" applyBorder="1" applyAlignment="1">
      <alignment horizontal="center" vertical="top"/>
    </xf>
    <xf numFmtId="0" fontId="10" fillId="4" borderId="15" xfId="0" applyFont="1" applyFill="1" applyBorder="1" applyAlignment="1">
      <alignment horizontal="center" vertical="top"/>
    </xf>
    <xf numFmtId="0" fontId="11" fillId="0" borderId="29" xfId="0" applyFont="1" applyBorder="1" applyAlignment="1">
      <alignment horizontal="left" vertical="top"/>
    </xf>
    <xf numFmtId="0" fontId="10" fillId="0" borderId="29" xfId="0" applyFont="1" applyBorder="1" applyAlignment="1">
      <alignment horizontal="center" vertical="top" wrapText="1"/>
    </xf>
    <xf numFmtId="0" fontId="10" fillId="7" borderId="32" xfId="0" applyFont="1" applyFill="1" applyBorder="1" applyAlignment="1">
      <alignment horizontal="center" vertical="top" wrapText="1"/>
    </xf>
    <xf numFmtId="0" fontId="11" fillId="7" borderId="38" xfId="0" applyFont="1" applyFill="1" applyBorder="1" applyAlignment="1">
      <alignment horizontal="center" vertical="top"/>
    </xf>
    <xf numFmtId="0" fontId="11" fillId="0" borderId="15" xfId="0" applyFont="1" applyBorder="1" applyAlignment="1">
      <alignment horizontal="center" vertical="top"/>
    </xf>
    <xf numFmtId="0" fontId="0" fillId="0" borderId="35" xfId="0" applyBorder="1" applyAlignment="1">
      <alignment horizontal="center"/>
    </xf>
    <xf numFmtId="0" fontId="25" fillId="0" borderId="35" xfId="0" applyFont="1" applyBorder="1" applyAlignment="1">
      <alignment horizontal="center"/>
    </xf>
    <xf numFmtId="0" fontId="0" fillId="0" borderId="36" xfId="0" applyBorder="1" applyAlignment="1">
      <alignment horizontal="center"/>
    </xf>
    <xf numFmtId="0" fontId="11" fillId="0" borderId="51" xfId="0" applyFont="1" applyBorder="1" applyAlignment="1">
      <alignment horizontal="center" vertical="top" wrapText="1"/>
    </xf>
    <xf numFmtId="0" fontId="11" fillId="0" borderId="44" xfId="0" applyFont="1" applyBorder="1" applyAlignment="1">
      <alignment horizontal="center" vertical="top" wrapText="1"/>
    </xf>
    <xf numFmtId="0" fontId="11" fillId="0" borderId="52" xfId="0" applyFont="1" applyBorder="1" applyAlignment="1">
      <alignment horizontal="center" vertical="top" wrapText="1"/>
    </xf>
    <xf numFmtId="0" fontId="31" fillId="10" borderId="32" xfId="0" applyFont="1" applyFill="1" applyBorder="1" applyAlignment="1">
      <alignment horizontal="center" vertical="top" textRotation="90"/>
    </xf>
    <xf numFmtId="0" fontId="33" fillId="0" borderId="35" xfId="2" applyBorder="1" applyAlignment="1" applyProtection="1">
      <alignment horizontal="center"/>
    </xf>
    <xf numFmtId="0" fontId="0" fillId="7" borderId="39" xfId="0" applyFill="1" applyBorder="1" applyAlignment="1">
      <alignment horizontal="center" vertical="center"/>
    </xf>
    <xf numFmtId="0" fontId="7" fillId="9" borderId="33" xfId="0" applyFont="1" applyFill="1" applyBorder="1" applyAlignment="1">
      <alignment horizontal="left" vertical="center"/>
    </xf>
    <xf numFmtId="0" fontId="7" fillId="9" borderId="21" xfId="0" applyFont="1" applyFill="1" applyBorder="1" applyAlignment="1">
      <alignment horizontal="left" vertical="center"/>
    </xf>
    <xf numFmtId="0" fontId="33" fillId="0" borderId="35" xfId="2" applyBorder="1" applyAlignment="1" applyProtection="1">
      <alignment horizontal="center" vertical="center"/>
    </xf>
    <xf numFmtId="0" fontId="10" fillId="5" borderId="22" xfId="0" applyFont="1" applyFill="1" applyBorder="1" applyAlignment="1">
      <alignment horizontal="center"/>
    </xf>
  </cellXfs>
  <cellStyles count="9">
    <cellStyle name="Comma 2" xfId="8" xr:uid="{6AC03665-C5B9-4DA1-B8D5-6CD8C8EC4680}"/>
    <cellStyle name="Currency" xfId="1" builtinId="4"/>
    <cellStyle name="Currency 2" xfId="6" xr:uid="{CBCAA4DD-605B-4297-9C5B-DB3BB1EAEE9C}"/>
    <cellStyle name="Hyperlink" xfId="2" builtinId="8"/>
    <cellStyle name="Normal" xfId="0" builtinId="0"/>
    <cellStyle name="Normal 2" xfId="3" xr:uid="{30ED056C-D3B9-4FB4-B3B3-7A437228F872}"/>
    <cellStyle name="Normal 3" xfId="5" xr:uid="{3A72F0A6-A301-4E3D-BB4E-C2AFD9177AAE}"/>
    <cellStyle name="Percent 2" xfId="4" xr:uid="{548AEF06-02ED-4BA6-8E10-F5FE33254363}"/>
    <cellStyle name="Percent 3" xfId="7" xr:uid="{1B862494-CE34-409F-B65F-2EFEDAC086E6}"/>
  </cellStyles>
  <dxfs count="2">
    <dxf>
      <fill>
        <patternFill>
          <bgColor theme="9" tint="0.79998168889431442"/>
        </patternFill>
      </fill>
    </dxf>
    <dxf>
      <fill>
        <patternFill>
          <bgColor theme="9" tint="0.7999816888943144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70C0"/>
      <rgbColor rgb="FFA9D18E"/>
      <rgbColor rgb="FF808080"/>
      <rgbColor rgb="FF9999FF"/>
      <rgbColor rgb="FF993366"/>
      <rgbColor rgb="FFFFF2CC"/>
      <rgbColor rgb="FFDEEBF7"/>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DAE3F3"/>
      <rgbColor rgb="FFC5E0B4"/>
      <rgbColor rgb="FFFFFF99"/>
      <rgbColor rgb="FF99CCFF"/>
      <rgbColor rgb="FFFFCCFF"/>
      <rgbColor rgb="FFCC99FF"/>
      <rgbColor rgb="FFFFE699"/>
      <rgbColor rgb="FF3366FF"/>
      <rgbColor rgb="FF33CCCC"/>
      <rgbColor rgb="FF99CC00"/>
      <rgbColor rgb="FFFFCC00"/>
      <rgbColor rgb="FFFF9900"/>
      <rgbColor rgb="FFFF6600"/>
      <rgbColor rgb="FF595959"/>
      <rgbColor rgb="FFA6A6A6"/>
      <rgbColor rgb="FF002060"/>
      <rgbColor rgb="FF339966"/>
      <rgbColor rgb="FF003300"/>
      <rgbColor rgb="FF385724"/>
      <rgbColor rgb="FF993300"/>
      <rgbColor rgb="FF993366"/>
      <rgbColor rgb="FF333399"/>
      <rgbColor rgb="FF20386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mailto:matthieu_demari@sutd.edu.sg"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
  <sheetViews>
    <sheetView tabSelected="1" zoomScale="85" zoomScaleNormal="85" workbookViewId="0">
      <selection activeCell="D1" sqref="D1"/>
    </sheetView>
  </sheetViews>
  <sheetFormatPr defaultColWidth="8.81640625" defaultRowHeight="14.5" x14ac:dyDescent="0.35"/>
  <cols>
    <col min="1" max="1" width="31.7265625" style="1" customWidth="1"/>
    <col min="2" max="2" width="90.81640625" style="1" customWidth="1"/>
    <col min="3" max="3" width="59.81640625" customWidth="1"/>
    <col min="4" max="5" width="28.7265625" customWidth="1"/>
  </cols>
  <sheetData>
    <row r="1" spans="1:10" ht="45" customHeight="1" x14ac:dyDescent="0.35">
      <c r="A1" s="188" t="s">
        <v>0</v>
      </c>
      <c r="B1" s="188"/>
      <c r="C1" s="188"/>
    </row>
    <row r="2" spans="1:10" ht="30" customHeight="1" x14ac:dyDescent="0.35">
      <c r="A2" s="189" t="s">
        <v>1</v>
      </c>
      <c r="B2" s="189"/>
      <c r="C2" s="189"/>
    </row>
    <row r="3" spans="1:10" ht="30" customHeight="1" x14ac:dyDescent="0.35">
      <c r="A3" s="190" t="s">
        <v>2</v>
      </c>
      <c r="B3" s="190"/>
      <c r="C3" s="190"/>
      <c r="D3" s="2"/>
      <c r="E3" s="2"/>
      <c r="F3" s="3"/>
      <c r="G3" s="4"/>
      <c r="H3" s="4"/>
      <c r="I3" s="4"/>
      <c r="J3" s="4"/>
    </row>
    <row r="4" spans="1:10" ht="30" customHeight="1" x14ac:dyDescent="0.35">
      <c r="A4" s="5" t="s">
        <v>3</v>
      </c>
      <c r="B4" s="6"/>
      <c r="C4" s="7"/>
      <c r="D4" s="2"/>
      <c r="E4" s="2"/>
      <c r="F4" s="3"/>
      <c r="G4" s="4"/>
      <c r="H4" s="4"/>
      <c r="I4" s="4"/>
      <c r="J4" s="4"/>
    </row>
    <row r="5" spans="1:10" ht="15.5" x14ac:dyDescent="0.35">
      <c r="A5" s="8" t="s">
        <v>4</v>
      </c>
      <c r="B5" s="9" t="s">
        <v>206</v>
      </c>
      <c r="C5" s="10"/>
    </row>
    <row r="6" spans="1:10" ht="15.5" x14ac:dyDescent="0.35">
      <c r="A6" s="191" t="s">
        <v>5</v>
      </c>
      <c r="B6" s="191"/>
      <c r="C6" s="192"/>
    </row>
    <row r="7" spans="1:10" ht="45" customHeight="1" x14ac:dyDescent="0.35">
      <c r="A7" s="11" t="s">
        <v>6</v>
      </c>
      <c r="B7" s="156" t="s">
        <v>7</v>
      </c>
      <c r="C7" s="192"/>
    </row>
    <row r="8" spans="1:10" ht="26" x14ac:dyDescent="0.35">
      <c r="A8" s="12" t="s">
        <v>8</v>
      </c>
      <c r="B8" s="53">
        <v>3</v>
      </c>
      <c r="C8" s="13" t="s">
        <v>9</v>
      </c>
    </row>
    <row r="9" spans="1:10" ht="15.5" x14ac:dyDescent="0.35">
      <c r="A9" s="8" t="s">
        <v>10</v>
      </c>
      <c r="B9" s="9">
        <v>40</v>
      </c>
      <c r="C9" s="14"/>
    </row>
    <row r="10" spans="1:10" ht="15.5" x14ac:dyDescent="0.35">
      <c r="A10" s="191" t="s">
        <v>11</v>
      </c>
      <c r="B10" s="191"/>
      <c r="C10" s="195"/>
    </row>
    <row r="11" spans="1:10" ht="93.75" customHeight="1" x14ac:dyDescent="0.35">
      <c r="A11" s="15" t="s">
        <v>12</v>
      </c>
      <c r="B11" s="186" t="s">
        <v>208</v>
      </c>
      <c r="C11" s="195"/>
    </row>
    <row r="12" spans="1:10" ht="15.75" customHeight="1" x14ac:dyDescent="0.35">
      <c r="A12" s="191" t="s">
        <v>13</v>
      </c>
      <c r="B12" s="191"/>
      <c r="C12" s="193" t="s">
        <v>14</v>
      </c>
    </row>
    <row r="13" spans="1:10" ht="168" customHeight="1" x14ac:dyDescent="0.35">
      <c r="A13" s="15" t="s">
        <v>15</v>
      </c>
      <c r="B13" s="186" t="s">
        <v>209</v>
      </c>
      <c r="C13" s="193"/>
    </row>
    <row r="14" spans="1:10" ht="15.75" customHeight="1" x14ac:dyDescent="0.35">
      <c r="A14" s="191" t="s">
        <v>16</v>
      </c>
      <c r="B14" s="191"/>
      <c r="C14" s="193" t="s">
        <v>17</v>
      </c>
    </row>
    <row r="15" spans="1:10" ht="130.5" customHeight="1" x14ac:dyDescent="0.35">
      <c r="A15" s="15" t="s">
        <v>18</v>
      </c>
      <c r="B15" s="187" t="s">
        <v>210</v>
      </c>
      <c r="C15" s="193"/>
    </row>
    <row r="16" spans="1:10" ht="15.75" customHeight="1" x14ac:dyDescent="0.35">
      <c r="A16" s="191" t="s">
        <v>19</v>
      </c>
      <c r="B16" s="191"/>
      <c r="C16" s="193" t="s">
        <v>20</v>
      </c>
    </row>
    <row r="17" spans="1:3" ht="84.75" customHeight="1" x14ac:dyDescent="0.35">
      <c r="A17" s="15" t="s">
        <v>21</v>
      </c>
      <c r="B17" s="16" t="s">
        <v>207</v>
      </c>
      <c r="C17" s="193"/>
    </row>
    <row r="18" spans="1:3" ht="15.75" customHeight="1" x14ac:dyDescent="0.35">
      <c r="A18" s="191" t="s">
        <v>22</v>
      </c>
      <c r="B18" s="191"/>
      <c r="C18" s="194" t="s">
        <v>23</v>
      </c>
    </row>
    <row r="19" spans="1:3" ht="46.5" x14ac:dyDescent="0.35">
      <c r="A19" s="17" t="s">
        <v>24</v>
      </c>
      <c r="B19" s="18" t="s">
        <v>25</v>
      </c>
      <c r="C19" s="194"/>
    </row>
  </sheetData>
  <mergeCells count="15">
    <mergeCell ref="A16:B16"/>
    <mergeCell ref="C16:C17"/>
    <mergeCell ref="A18:B18"/>
    <mergeCell ref="C18:C19"/>
    <mergeCell ref="A10:B10"/>
    <mergeCell ref="C10:C11"/>
    <mergeCell ref="A12:B12"/>
    <mergeCell ref="C12:C13"/>
    <mergeCell ref="A14:B14"/>
    <mergeCell ref="C14:C15"/>
    <mergeCell ref="A1:C1"/>
    <mergeCell ref="A2:C2"/>
    <mergeCell ref="A3:C3"/>
    <mergeCell ref="A6:B6"/>
    <mergeCell ref="C6:C7"/>
  </mergeCells>
  <dataValidations count="1">
    <dataValidation type="list" allowBlank="1" showInputMessage="1" showErrorMessage="1" sqref="A1:C1" xr:uid="{00000000-0002-0000-0000-000000000000}">
      <formula1>"New Course Proposal Form for SUTD Academy,Course Revisons Form for SUTD Academy"</formula1>
      <formula2>0</formula2>
    </dataValidation>
  </dataValidations>
  <pageMargins left="0.7" right="0.7" top="0.75" bottom="0.75" header="0.511811023622047" footer="0.511811023622047"/>
  <pageSetup paperSize="9" orientation="portrait" horizontalDpi="300" verticalDpi="300"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1000000}">
          <x14:formula1>
            <xm:f>Glossary!$B$2:$B$4</xm:f>
          </x14:formula1>
          <x14:formula2>
            <xm:f>0</xm:f>
          </x14:formula2>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6"/>
  <sheetViews>
    <sheetView zoomScale="85" zoomScaleNormal="85" workbookViewId="0">
      <selection activeCell="E38" sqref="E38"/>
    </sheetView>
  </sheetViews>
  <sheetFormatPr defaultColWidth="8.81640625" defaultRowHeight="14.5" x14ac:dyDescent="0.35"/>
  <cols>
    <col min="1" max="1" width="102.453125" customWidth="1"/>
    <col min="2" max="2" width="10.7265625" customWidth="1"/>
    <col min="3" max="6" width="10.7265625" style="19" customWidth="1"/>
    <col min="7" max="7" width="9.81640625" style="19" customWidth="1"/>
    <col min="8" max="8" width="13.453125" style="19" customWidth="1"/>
  </cols>
  <sheetData>
    <row r="1" spans="1:10" ht="45" customHeight="1" thickBot="1" x14ac:dyDescent="0.4">
      <c r="A1" s="188" t="s">
        <v>0</v>
      </c>
      <c r="B1" s="188"/>
      <c r="C1" s="188"/>
      <c r="D1" s="188"/>
      <c r="E1" s="188"/>
      <c r="F1" s="188"/>
      <c r="G1" s="188"/>
      <c r="H1" s="188"/>
    </row>
    <row r="2" spans="1:10" ht="30" customHeight="1" x14ac:dyDescent="0.35">
      <c r="A2" s="216" t="s">
        <v>26</v>
      </c>
      <c r="B2" s="216"/>
      <c r="C2" s="216"/>
      <c r="D2" s="216"/>
      <c r="E2" s="216"/>
      <c r="F2" s="216"/>
      <c r="G2" s="216"/>
      <c r="H2" s="216"/>
    </row>
    <row r="3" spans="1:10" ht="30" customHeight="1" thickBot="1" x14ac:dyDescent="0.4">
      <c r="A3" s="217" t="s">
        <v>27</v>
      </c>
      <c r="B3" s="217"/>
      <c r="C3" s="217"/>
      <c r="D3" s="217"/>
      <c r="E3" s="217"/>
      <c r="F3" s="217"/>
      <c r="G3" s="217"/>
      <c r="H3" s="217"/>
      <c r="I3" s="4"/>
      <c r="J3" s="4"/>
    </row>
    <row r="4" spans="1:10" ht="30" customHeight="1" thickBot="1" x14ac:dyDescent="0.4">
      <c r="A4" s="218" t="s">
        <v>28</v>
      </c>
      <c r="B4" s="218"/>
      <c r="C4" s="218"/>
      <c r="D4" s="218"/>
      <c r="E4" s="218"/>
      <c r="F4" s="218"/>
      <c r="G4" s="218"/>
      <c r="H4" s="218"/>
    </row>
    <row r="5" spans="1:10" ht="45" customHeight="1" thickBot="1" x14ac:dyDescent="0.4">
      <c r="A5" s="219" t="s">
        <v>29</v>
      </c>
      <c r="B5" s="221" t="s">
        <v>30</v>
      </c>
      <c r="C5" s="221"/>
      <c r="D5" s="221"/>
      <c r="E5" s="221"/>
      <c r="F5" s="221"/>
      <c r="G5" s="221"/>
      <c r="H5" s="221"/>
    </row>
    <row r="6" spans="1:10" ht="18.75" customHeight="1" thickBot="1" x14ac:dyDescent="0.4">
      <c r="A6" s="219"/>
      <c r="B6" s="222" t="s">
        <v>31</v>
      </c>
      <c r="C6" s="222" t="s">
        <v>32</v>
      </c>
      <c r="D6" s="222" t="s">
        <v>33</v>
      </c>
      <c r="E6" s="222" t="s">
        <v>34</v>
      </c>
      <c r="F6" s="222" t="s">
        <v>35</v>
      </c>
      <c r="G6" s="222" t="s">
        <v>36</v>
      </c>
      <c r="H6" s="224" t="s">
        <v>37</v>
      </c>
    </row>
    <row r="7" spans="1:10" ht="116.25" customHeight="1" thickBot="1" x14ac:dyDescent="0.4">
      <c r="A7" s="220"/>
      <c r="B7" s="223"/>
      <c r="C7" s="223"/>
      <c r="D7" s="223"/>
      <c r="E7" s="223"/>
      <c r="F7" s="223"/>
      <c r="G7" s="223"/>
      <c r="H7" s="225"/>
    </row>
    <row r="8" spans="1:10" ht="16.5" customHeight="1" x14ac:dyDescent="0.35">
      <c r="A8" s="176" t="s">
        <v>38</v>
      </c>
      <c r="B8" s="215" t="s">
        <v>39</v>
      </c>
      <c r="C8" s="55"/>
      <c r="D8" s="56"/>
      <c r="E8" s="56"/>
      <c r="F8" s="56"/>
      <c r="G8" s="56"/>
      <c r="H8" s="57">
        <f>SUM(C8:G8)</f>
        <v>0</v>
      </c>
    </row>
    <row r="9" spans="1:10" ht="30" customHeight="1" x14ac:dyDescent="0.35">
      <c r="A9" s="174" t="s">
        <v>204</v>
      </c>
      <c r="B9" s="209"/>
      <c r="C9" s="58">
        <v>2</v>
      </c>
      <c r="D9" s="59"/>
      <c r="E9" s="59"/>
      <c r="F9" s="59"/>
      <c r="G9" s="59"/>
      <c r="H9" s="60">
        <f>SUM(C9:G9)</f>
        <v>2</v>
      </c>
    </row>
    <row r="10" spans="1:10" ht="16.5" customHeight="1" x14ac:dyDescent="0.35">
      <c r="A10" s="162" t="s">
        <v>167</v>
      </c>
      <c r="B10" s="209"/>
      <c r="C10" s="58"/>
      <c r="D10" s="59"/>
      <c r="E10" s="59"/>
      <c r="F10" s="59"/>
      <c r="G10" s="59"/>
      <c r="H10" s="60">
        <v>0</v>
      </c>
    </row>
    <row r="11" spans="1:10" ht="30" customHeight="1" x14ac:dyDescent="0.35">
      <c r="A11" s="157" t="s">
        <v>168</v>
      </c>
      <c r="B11" s="209"/>
      <c r="C11" s="58">
        <v>1.5</v>
      </c>
      <c r="D11" s="59"/>
      <c r="E11" s="59"/>
      <c r="F11" s="59"/>
      <c r="G11" s="59"/>
      <c r="H11" s="60">
        <f>SUM(C11:G11)</f>
        <v>1.5</v>
      </c>
    </row>
    <row r="12" spans="1:10" ht="16.5" customHeight="1" x14ac:dyDescent="0.35">
      <c r="A12" s="67" t="s">
        <v>40</v>
      </c>
      <c r="B12" s="209"/>
      <c r="C12" s="201" t="s">
        <v>40</v>
      </c>
      <c r="D12" s="202"/>
      <c r="E12" s="202"/>
      <c r="F12" s="202"/>
      <c r="G12" s="202"/>
      <c r="H12" s="203"/>
    </row>
    <row r="13" spans="1:10" ht="16.5" customHeight="1" x14ac:dyDescent="0.35">
      <c r="A13" s="54" t="s">
        <v>169</v>
      </c>
      <c r="B13" s="209"/>
      <c r="C13" s="58"/>
      <c r="D13" s="59"/>
      <c r="E13" s="59"/>
      <c r="F13" s="59"/>
      <c r="G13" s="59"/>
      <c r="H13" s="60">
        <f>SUM(C13:G13)</f>
        <v>0</v>
      </c>
    </row>
    <row r="14" spans="1:10" s="161" customFormat="1" ht="30.65" customHeight="1" x14ac:dyDescent="0.35">
      <c r="A14" s="157" t="s">
        <v>170</v>
      </c>
      <c r="B14" s="209"/>
      <c r="C14" s="58">
        <v>1.5</v>
      </c>
      <c r="D14" s="59"/>
      <c r="E14" s="59"/>
      <c r="F14" s="59"/>
      <c r="G14" s="59"/>
      <c r="H14" s="60">
        <f t="shared" ref="H14:H16" si="0">SUM(C14:G14)</f>
        <v>1.5</v>
      </c>
    </row>
    <row r="15" spans="1:10" ht="16.5" customHeight="1" x14ac:dyDescent="0.35">
      <c r="A15" s="63" t="s">
        <v>171</v>
      </c>
      <c r="B15" s="209"/>
      <c r="C15" s="58"/>
      <c r="D15" s="59"/>
      <c r="E15" s="59"/>
      <c r="F15" s="59"/>
      <c r="G15" s="59"/>
      <c r="H15" s="60">
        <f t="shared" si="0"/>
        <v>0</v>
      </c>
    </row>
    <row r="16" spans="1:10" ht="31.9" customHeight="1" thickBot="1" x14ac:dyDescent="0.4">
      <c r="A16" s="165" t="s">
        <v>172</v>
      </c>
      <c r="B16" s="210"/>
      <c r="C16" s="64">
        <v>2</v>
      </c>
      <c r="D16" s="65"/>
      <c r="E16" s="65"/>
      <c r="F16" s="65"/>
      <c r="G16" s="65"/>
      <c r="H16" s="66">
        <f t="shared" si="0"/>
        <v>2</v>
      </c>
    </row>
    <row r="17" spans="1:8" ht="16.5" customHeight="1" x14ac:dyDescent="0.35">
      <c r="A17" s="177" t="s">
        <v>45</v>
      </c>
      <c r="B17" s="205" t="s">
        <v>42</v>
      </c>
      <c r="C17" s="85"/>
      <c r="D17" s="86"/>
      <c r="E17" s="86"/>
      <c r="F17" s="86"/>
      <c r="G17" s="86"/>
      <c r="H17" s="70">
        <f>SUM(C17:G17)</f>
        <v>0</v>
      </c>
    </row>
    <row r="18" spans="1:8" ht="15.65" customHeight="1" x14ac:dyDescent="0.35">
      <c r="A18" s="22" t="s">
        <v>46</v>
      </c>
      <c r="B18" s="206"/>
      <c r="C18" s="72">
        <v>1.5</v>
      </c>
      <c r="D18" s="73"/>
      <c r="E18" s="73"/>
      <c r="F18" s="73"/>
      <c r="G18" s="73"/>
      <c r="H18" s="71">
        <f>SUM(C18:G18)</f>
        <v>1.5</v>
      </c>
    </row>
    <row r="19" spans="1:8" ht="16.5" customHeight="1" x14ac:dyDescent="0.35">
      <c r="A19" s="25" t="s">
        <v>47</v>
      </c>
      <c r="B19" s="206"/>
      <c r="C19" s="72"/>
      <c r="D19" s="73"/>
      <c r="E19" s="73"/>
      <c r="F19" s="73"/>
      <c r="G19" s="73"/>
      <c r="H19" s="71">
        <v>0</v>
      </c>
    </row>
    <row r="20" spans="1:8" ht="30" customHeight="1" x14ac:dyDescent="0.35">
      <c r="A20" s="167" t="s">
        <v>173</v>
      </c>
      <c r="B20" s="206"/>
      <c r="C20" s="72">
        <v>2</v>
      </c>
      <c r="D20" s="73"/>
      <c r="E20" s="73"/>
      <c r="F20" s="73"/>
      <c r="G20" s="73"/>
      <c r="H20" s="71">
        <f>SUM(C20:G20)</f>
        <v>2</v>
      </c>
    </row>
    <row r="21" spans="1:8" ht="16.5" customHeight="1" x14ac:dyDescent="0.35">
      <c r="A21" s="67" t="s">
        <v>40</v>
      </c>
      <c r="B21" s="206"/>
      <c r="C21" s="201" t="s">
        <v>40</v>
      </c>
      <c r="D21" s="202"/>
      <c r="E21" s="202"/>
      <c r="F21" s="202"/>
      <c r="G21" s="202"/>
      <c r="H21" s="203"/>
    </row>
    <row r="22" spans="1:8" ht="16.5" customHeight="1" x14ac:dyDescent="0.35">
      <c r="A22" s="69" t="s">
        <v>174</v>
      </c>
      <c r="B22" s="206"/>
      <c r="C22" s="72"/>
      <c r="D22" s="73"/>
      <c r="E22" s="73"/>
      <c r="F22" s="73"/>
      <c r="G22" s="73"/>
      <c r="H22" s="71">
        <f>SUM(C22:G22)</f>
        <v>0</v>
      </c>
    </row>
    <row r="23" spans="1:8" ht="30" customHeight="1" x14ac:dyDescent="0.35">
      <c r="A23" s="173" t="s">
        <v>41</v>
      </c>
      <c r="B23" s="206"/>
      <c r="C23" s="158">
        <v>1.5</v>
      </c>
      <c r="D23" s="159"/>
      <c r="E23" s="159"/>
      <c r="F23" s="159"/>
      <c r="G23" s="159"/>
      <c r="H23" s="71">
        <f t="shared" ref="H23:H29" si="1">SUM(C23:G23)</f>
        <v>1.5</v>
      </c>
    </row>
    <row r="24" spans="1:8" ht="16.5" customHeight="1" x14ac:dyDescent="0.35">
      <c r="A24" s="68" t="s">
        <v>176</v>
      </c>
      <c r="B24" s="206"/>
      <c r="C24" s="158"/>
      <c r="D24" s="159"/>
      <c r="E24" s="159"/>
      <c r="F24" s="159"/>
      <c r="G24" s="159"/>
      <c r="H24" s="71">
        <f t="shared" si="1"/>
        <v>0</v>
      </c>
    </row>
    <row r="25" spans="1:8" s="161" customFormat="1" ht="16.5" customHeight="1" thickBot="1" x14ac:dyDescent="0.4">
      <c r="A25" s="160" t="s">
        <v>175</v>
      </c>
      <c r="B25" s="207"/>
      <c r="C25" s="74">
        <v>2</v>
      </c>
      <c r="D25" s="75"/>
      <c r="E25" s="75"/>
      <c r="F25" s="75"/>
      <c r="G25" s="75"/>
      <c r="H25" s="76">
        <f t="shared" si="1"/>
        <v>2</v>
      </c>
    </row>
    <row r="26" spans="1:8" ht="16.5" customHeight="1" x14ac:dyDescent="0.35">
      <c r="A26" s="162" t="s">
        <v>177</v>
      </c>
      <c r="B26" s="208" t="s">
        <v>43</v>
      </c>
      <c r="C26" s="61"/>
      <c r="D26" s="62"/>
      <c r="E26" s="62"/>
      <c r="F26" s="62"/>
      <c r="G26" s="62"/>
      <c r="H26" s="87">
        <f t="shared" si="1"/>
        <v>0</v>
      </c>
    </row>
    <row r="27" spans="1:8" s="161" customFormat="1" ht="16.5" customHeight="1" x14ac:dyDescent="0.35">
      <c r="A27" s="157" t="s">
        <v>178</v>
      </c>
      <c r="B27" s="208"/>
      <c r="C27" s="61">
        <v>2</v>
      </c>
      <c r="D27" s="62"/>
      <c r="E27" s="62"/>
      <c r="F27" s="62"/>
      <c r="G27" s="62"/>
      <c r="H27" s="71">
        <f t="shared" si="1"/>
        <v>2</v>
      </c>
    </row>
    <row r="28" spans="1:8" ht="16.5" customHeight="1" x14ac:dyDescent="0.35">
      <c r="A28" s="54" t="s">
        <v>179</v>
      </c>
      <c r="B28" s="208"/>
      <c r="C28" s="61"/>
      <c r="D28" s="62"/>
      <c r="E28" s="62"/>
      <c r="F28" s="62"/>
      <c r="G28" s="62"/>
      <c r="H28" s="71">
        <f t="shared" si="1"/>
        <v>0</v>
      </c>
    </row>
    <row r="29" spans="1:8" ht="33" customHeight="1" x14ac:dyDescent="0.35">
      <c r="A29" s="157" t="s">
        <v>180</v>
      </c>
      <c r="B29" s="209"/>
      <c r="C29" s="61">
        <v>1.5</v>
      </c>
      <c r="D29" s="62"/>
      <c r="E29" s="62"/>
      <c r="F29" s="62"/>
      <c r="G29" s="62"/>
      <c r="H29" s="71">
        <f t="shared" si="1"/>
        <v>1.5</v>
      </c>
    </row>
    <row r="30" spans="1:8" ht="16.5" customHeight="1" x14ac:dyDescent="0.35">
      <c r="A30" s="67"/>
      <c r="B30" s="209"/>
      <c r="C30" s="201" t="s">
        <v>40</v>
      </c>
      <c r="D30" s="202"/>
      <c r="E30" s="202"/>
      <c r="F30" s="202"/>
      <c r="G30" s="202"/>
      <c r="H30" s="203"/>
    </row>
    <row r="31" spans="1:8" ht="16.5" customHeight="1" x14ac:dyDescent="0.35">
      <c r="A31" s="63" t="s">
        <v>200</v>
      </c>
      <c r="B31" s="209"/>
      <c r="C31" s="58"/>
      <c r="D31" s="59"/>
      <c r="E31" s="59">
        <v>3.5</v>
      </c>
      <c r="F31" s="59"/>
      <c r="G31" s="59"/>
      <c r="H31" s="60">
        <f>SUM(C31:G31)</f>
        <v>3.5</v>
      </c>
    </row>
    <row r="32" spans="1:8" ht="16.5" customHeight="1" x14ac:dyDescent="0.35">
      <c r="A32" s="157"/>
      <c r="B32" s="209"/>
      <c r="C32" s="163"/>
      <c r="D32" s="164"/>
      <c r="E32" s="164"/>
      <c r="F32" s="164"/>
      <c r="G32" s="164"/>
      <c r="H32" s="60">
        <f t="shared" ref="H32:H38" si="2">SUM(C32:G32)</f>
        <v>0</v>
      </c>
    </row>
    <row r="33" spans="1:8" ht="16.5" customHeight="1" x14ac:dyDescent="0.35">
      <c r="A33" s="63"/>
      <c r="B33" s="209"/>
      <c r="C33" s="163"/>
      <c r="D33" s="164"/>
      <c r="E33" s="164"/>
      <c r="F33" s="164"/>
      <c r="G33" s="164"/>
      <c r="H33" s="60">
        <f t="shared" si="2"/>
        <v>0</v>
      </c>
    </row>
    <row r="34" spans="1:8" ht="16.5" customHeight="1" thickBot="1" x14ac:dyDescent="0.4">
      <c r="A34" s="165"/>
      <c r="B34" s="210"/>
      <c r="C34" s="64"/>
      <c r="D34" s="65"/>
      <c r="E34" s="65"/>
      <c r="F34" s="65"/>
      <c r="G34" s="65"/>
      <c r="H34" s="66">
        <f t="shared" si="2"/>
        <v>0</v>
      </c>
    </row>
    <row r="35" spans="1:8" ht="16.5" customHeight="1" x14ac:dyDescent="0.35">
      <c r="A35" s="177" t="s">
        <v>201</v>
      </c>
      <c r="B35" s="211" t="s">
        <v>44</v>
      </c>
      <c r="C35" s="20">
        <v>1.5</v>
      </c>
      <c r="D35" s="21"/>
      <c r="E35" s="21"/>
      <c r="F35" s="21"/>
      <c r="G35" s="21"/>
      <c r="H35" s="166">
        <f t="shared" si="2"/>
        <v>1.5</v>
      </c>
    </row>
    <row r="36" spans="1:8" ht="15" customHeight="1" x14ac:dyDescent="0.35">
      <c r="A36" s="22" t="s">
        <v>202</v>
      </c>
      <c r="B36" s="212"/>
      <c r="C36" s="20"/>
      <c r="D36" s="21"/>
      <c r="E36" s="21"/>
      <c r="F36" s="21"/>
      <c r="G36" s="21"/>
      <c r="H36" s="60">
        <f t="shared" si="2"/>
        <v>0</v>
      </c>
    </row>
    <row r="37" spans="1:8" ht="16.5" customHeight="1" x14ac:dyDescent="0.35">
      <c r="A37" s="25" t="s">
        <v>203</v>
      </c>
      <c r="B37" s="212"/>
      <c r="C37" s="20"/>
      <c r="D37" s="21"/>
      <c r="E37" s="21">
        <v>2</v>
      </c>
      <c r="F37" s="21"/>
      <c r="G37" s="21"/>
      <c r="H37" s="60">
        <f t="shared" si="2"/>
        <v>2</v>
      </c>
    </row>
    <row r="38" spans="1:8" ht="16.5" customHeight="1" x14ac:dyDescent="0.35">
      <c r="A38" s="22" t="s">
        <v>205</v>
      </c>
      <c r="B38" s="213"/>
      <c r="C38" s="23"/>
      <c r="D38" s="24"/>
      <c r="E38" s="24"/>
      <c r="F38" s="24"/>
      <c r="G38" s="24"/>
      <c r="H38" s="60">
        <f t="shared" si="2"/>
        <v>0</v>
      </c>
    </row>
    <row r="39" spans="1:8" ht="16.5" customHeight="1" x14ac:dyDescent="0.35">
      <c r="A39" s="77" t="s">
        <v>40</v>
      </c>
      <c r="B39" s="213"/>
      <c r="C39" s="201" t="s">
        <v>40</v>
      </c>
      <c r="D39" s="202"/>
      <c r="E39" s="202"/>
      <c r="F39" s="202"/>
      <c r="G39" s="202"/>
      <c r="H39" s="203"/>
    </row>
    <row r="40" spans="1:8" ht="16.5" customHeight="1" x14ac:dyDescent="0.35">
      <c r="A40" s="25"/>
      <c r="B40" s="213"/>
      <c r="C40" s="23"/>
      <c r="D40" s="24"/>
      <c r="E40" s="24"/>
      <c r="F40" s="24"/>
      <c r="G40" s="24"/>
      <c r="H40" s="71">
        <f>SUM(C40:G40)</f>
        <v>0</v>
      </c>
    </row>
    <row r="41" spans="1:8" ht="33" customHeight="1" x14ac:dyDescent="0.35">
      <c r="A41" s="167"/>
      <c r="B41" s="213"/>
      <c r="C41" s="168"/>
      <c r="D41" s="169"/>
      <c r="E41" s="169"/>
      <c r="F41" s="169"/>
      <c r="G41" s="169"/>
      <c r="H41" s="71">
        <f t="shared" ref="H41:H43" si="3">SUM(C41:G41)</f>
        <v>0</v>
      </c>
    </row>
    <row r="42" spans="1:8" ht="16.5" customHeight="1" x14ac:dyDescent="0.35">
      <c r="A42" s="25"/>
      <c r="B42" s="213"/>
      <c r="C42" s="168"/>
      <c r="D42" s="169"/>
      <c r="E42" s="169"/>
      <c r="F42" s="169"/>
      <c r="G42" s="169"/>
      <c r="H42" s="71">
        <f t="shared" si="3"/>
        <v>0</v>
      </c>
    </row>
    <row r="43" spans="1:8" s="161" customFormat="1" ht="15.75" customHeight="1" thickBot="1" x14ac:dyDescent="0.4">
      <c r="A43" s="175"/>
      <c r="B43" s="214"/>
      <c r="C43" s="83"/>
      <c r="D43" s="84"/>
      <c r="E43" s="84"/>
      <c r="F43" s="84"/>
      <c r="G43" s="84"/>
      <c r="H43" s="71">
        <f t="shared" si="3"/>
        <v>0</v>
      </c>
    </row>
    <row r="44" spans="1:8" ht="16.5" customHeight="1" x14ac:dyDescent="0.35">
      <c r="A44" s="162"/>
      <c r="B44" s="196" t="s">
        <v>48</v>
      </c>
      <c r="C44" s="81"/>
      <c r="D44" s="82"/>
      <c r="E44" s="82"/>
      <c r="F44" s="82"/>
      <c r="G44" s="82"/>
      <c r="H44" s="57">
        <f>SUM(C44:G44)</f>
        <v>0</v>
      </c>
    </row>
    <row r="45" spans="1:8" ht="33" customHeight="1" x14ac:dyDescent="0.35">
      <c r="A45" s="157"/>
      <c r="B45" s="197"/>
      <c r="C45" s="170"/>
      <c r="D45" s="171"/>
      <c r="E45" s="171"/>
      <c r="F45" s="171"/>
      <c r="G45" s="171"/>
      <c r="H45" s="60">
        <f t="shared" ref="H45:H47" si="4">SUM(C45:G45)</f>
        <v>0</v>
      </c>
    </row>
    <row r="46" spans="1:8" ht="16.5" customHeight="1" x14ac:dyDescent="0.35">
      <c r="A46" s="54"/>
      <c r="B46" s="197"/>
      <c r="C46" s="170"/>
      <c r="D46" s="171"/>
      <c r="E46" s="171"/>
      <c r="F46" s="171"/>
      <c r="G46" s="171"/>
      <c r="H46" s="60">
        <f t="shared" si="4"/>
        <v>0</v>
      </c>
    </row>
    <row r="47" spans="1:8" ht="16.5" customHeight="1" x14ac:dyDescent="0.35">
      <c r="A47" s="157"/>
      <c r="B47" s="197"/>
      <c r="C47" s="170"/>
      <c r="D47" s="171"/>
      <c r="E47" s="171"/>
      <c r="F47" s="171"/>
      <c r="G47" s="171"/>
      <c r="H47" s="166">
        <f t="shared" si="4"/>
        <v>0</v>
      </c>
    </row>
    <row r="48" spans="1:8" ht="16.5" customHeight="1" x14ac:dyDescent="0.35">
      <c r="A48" s="77" t="s">
        <v>40</v>
      </c>
      <c r="B48" s="198"/>
      <c r="C48" s="201" t="s">
        <v>40</v>
      </c>
      <c r="D48" s="202"/>
      <c r="E48" s="202"/>
      <c r="F48" s="202"/>
      <c r="G48" s="202"/>
      <c r="H48" s="203"/>
    </row>
    <row r="49" spans="1:10" ht="16.5" customHeight="1" x14ac:dyDescent="0.35">
      <c r="A49" s="63"/>
      <c r="B49" s="199"/>
      <c r="C49" s="58"/>
      <c r="D49" s="59"/>
      <c r="E49" s="59"/>
      <c r="F49" s="59"/>
      <c r="G49" s="59"/>
      <c r="H49" s="60">
        <f>SUM(C49:G49)</f>
        <v>0</v>
      </c>
    </row>
    <row r="50" spans="1:10" ht="16.5" customHeight="1" x14ac:dyDescent="0.35">
      <c r="A50" s="157"/>
      <c r="B50" s="199"/>
      <c r="C50" s="163"/>
      <c r="D50" s="164"/>
      <c r="E50" s="164"/>
      <c r="F50" s="164"/>
      <c r="G50" s="164"/>
      <c r="H50" s="60">
        <f t="shared" ref="H50:H52" si="5">SUM(C50:G50)</f>
        <v>0</v>
      </c>
    </row>
    <row r="51" spans="1:10" ht="16.5" customHeight="1" x14ac:dyDescent="0.35">
      <c r="A51" s="63"/>
      <c r="B51" s="199"/>
      <c r="C51" s="163"/>
      <c r="D51" s="164"/>
      <c r="E51" s="164"/>
      <c r="F51" s="164"/>
      <c r="G51" s="164"/>
      <c r="H51" s="60">
        <f t="shared" si="5"/>
        <v>0</v>
      </c>
    </row>
    <row r="52" spans="1:10" ht="33" customHeight="1" thickBot="1" x14ac:dyDescent="0.4">
      <c r="A52" s="165"/>
      <c r="B52" s="200"/>
      <c r="C52" s="64"/>
      <c r="D52" s="65"/>
      <c r="E52" s="65"/>
      <c r="F52" s="65"/>
      <c r="G52" s="65"/>
      <c r="H52" s="60">
        <f t="shared" si="5"/>
        <v>0</v>
      </c>
    </row>
    <row r="53" spans="1:10" ht="16.5" customHeight="1" thickBot="1" x14ac:dyDescent="0.4"/>
    <row r="54" spans="1:10" ht="16.5" customHeight="1" thickBot="1" x14ac:dyDescent="0.4">
      <c r="B54" s="78" t="s">
        <v>49</v>
      </c>
      <c r="C54" s="79">
        <f>SUM(C8:C52)</f>
        <v>19</v>
      </c>
      <c r="D54" s="79">
        <f t="shared" ref="D54:G54" si="6">SUM(D8:D52)</f>
        <v>0</v>
      </c>
      <c r="E54" s="79">
        <v>0</v>
      </c>
      <c r="F54" s="79">
        <v>0.5</v>
      </c>
      <c r="G54" s="79">
        <f t="shared" si="6"/>
        <v>0</v>
      </c>
      <c r="H54" s="80">
        <f>SUM(H8:H11,H13:H16,H17:H20,H22:H25,H26:H29,H31:H34,H35:H38,H40:H43,H44:H47,H49:H52)</f>
        <v>24.5</v>
      </c>
    </row>
    <row r="55" spans="1:10" ht="16.5" customHeight="1" thickBot="1" x14ac:dyDescent="0.4">
      <c r="B55" s="26"/>
      <c r="C55" s="27"/>
      <c r="D55" s="27"/>
      <c r="E55" s="27"/>
      <c r="F55" s="27"/>
      <c r="G55" s="27"/>
      <c r="H55" s="27"/>
      <c r="J55" s="28"/>
    </row>
    <row r="56" spans="1:10" ht="16.5" customHeight="1" thickBot="1" x14ac:dyDescent="0.4">
      <c r="B56" s="204" t="s">
        <v>50</v>
      </c>
      <c r="C56" s="204"/>
      <c r="D56" s="204"/>
      <c r="E56" s="204"/>
      <c r="F56" s="204"/>
      <c r="G56" s="204"/>
      <c r="H56" s="29">
        <f>SUM(C54:G54)</f>
        <v>19.5</v>
      </c>
    </row>
    <row r="57" spans="1:10" ht="16.5" customHeight="1" x14ac:dyDescent="0.35"/>
    <row r="58" spans="1:10" ht="16.5" customHeight="1" x14ac:dyDescent="0.35"/>
    <row r="59" spans="1:10" ht="16.5" customHeight="1" x14ac:dyDescent="0.35"/>
    <row r="60" spans="1:10" ht="16.5" customHeight="1" x14ac:dyDescent="0.35"/>
    <row r="61" spans="1:10" ht="16.5" customHeight="1" x14ac:dyDescent="0.35"/>
    <row r="62" spans="1:10" ht="16.5" customHeight="1" x14ac:dyDescent="0.35"/>
    <row r="63" spans="1:10" ht="16.5" customHeight="1" x14ac:dyDescent="0.35"/>
    <row r="64" spans="1:10" ht="16.5" customHeight="1" x14ac:dyDescent="0.35"/>
    <row r="65" ht="16.5" customHeight="1" x14ac:dyDescent="0.35"/>
    <row r="66" ht="16.5" customHeight="1" x14ac:dyDescent="0.35"/>
    <row r="67" ht="16.5" customHeight="1" x14ac:dyDescent="0.35"/>
    <row r="68" ht="16.5" customHeight="1" x14ac:dyDescent="0.35"/>
    <row r="69" ht="16.5" customHeight="1" x14ac:dyDescent="0.35"/>
    <row r="70" ht="16.5" customHeight="1" x14ac:dyDescent="0.35"/>
    <row r="71" ht="16.5" customHeight="1" x14ac:dyDescent="0.35"/>
    <row r="72" ht="16.5" customHeight="1" x14ac:dyDescent="0.35"/>
    <row r="73" ht="16.5" customHeight="1" x14ac:dyDescent="0.35"/>
    <row r="74" ht="16.5" customHeight="1" x14ac:dyDescent="0.35"/>
    <row r="75" ht="16.5" customHeight="1" x14ac:dyDescent="0.35"/>
    <row r="76" ht="16.5" customHeight="1" x14ac:dyDescent="0.35"/>
    <row r="77" ht="16.5" customHeight="1" x14ac:dyDescent="0.35"/>
    <row r="78" ht="16.5" customHeight="1" x14ac:dyDescent="0.35"/>
    <row r="79" ht="16.5" customHeight="1" x14ac:dyDescent="0.35"/>
    <row r="80" ht="16.5" customHeight="1" x14ac:dyDescent="0.35"/>
    <row r="81" ht="16.5" customHeight="1" x14ac:dyDescent="0.35"/>
    <row r="82" ht="16.5" customHeight="1" x14ac:dyDescent="0.35"/>
    <row r="83" ht="16.5" customHeight="1" x14ac:dyDescent="0.35"/>
    <row r="84" ht="16.5" customHeight="1" x14ac:dyDescent="0.35"/>
    <row r="85" ht="16.5" customHeight="1" x14ac:dyDescent="0.35"/>
    <row r="86" ht="16.5" customHeight="1" x14ac:dyDescent="0.35"/>
    <row r="87" ht="16.5" customHeight="1" x14ac:dyDescent="0.35"/>
    <row r="88" ht="16.5" customHeight="1" x14ac:dyDescent="0.35"/>
    <row r="89" ht="16.5" customHeight="1" x14ac:dyDescent="0.35"/>
    <row r="90" ht="16.5" customHeight="1" x14ac:dyDescent="0.35"/>
    <row r="91" ht="16.5" customHeight="1" x14ac:dyDescent="0.35"/>
    <row r="92" ht="16.5" customHeight="1" x14ac:dyDescent="0.35"/>
    <row r="93" ht="16.5" customHeight="1" x14ac:dyDescent="0.35"/>
    <row r="94" ht="16.5" customHeight="1" x14ac:dyDescent="0.35"/>
    <row r="95" ht="16.5" customHeight="1" x14ac:dyDescent="0.35"/>
    <row r="96" ht="16.5" customHeight="1" x14ac:dyDescent="0.35"/>
    <row r="97" ht="16.5" customHeight="1" x14ac:dyDescent="0.35"/>
    <row r="98" ht="16.5" customHeight="1" x14ac:dyDescent="0.35"/>
    <row r="99" ht="16.5" customHeight="1" x14ac:dyDescent="0.35"/>
    <row r="100" ht="16.5" customHeight="1" x14ac:dyDescent="0.35"/>
    <row r="101" ht="16.5" customHeight="1" x14ac:dyDescent="0.35"/>
    <row r="102" ht="16.5" customHeight="1" x14ac:dyDescent="0.35"/>
    <row r="103" ht="16.5" customHeight="1" x14ac:dyDescent="0.35"/>
    <row r="104" ht="16.5" customHeight="1" x14ac:dyDescent="0.35"/>
    <row r="105" ht="16.5" customHeight="1" x14ac:dyDescent="0.35"/>
    <row r="106" ht="16.5" customHeight="1" x14ac:dyDescent="0.35"/>
  </sheetData>
  <mergeCells count="24">
    <mergeCell ref="B8:B16"/>
    <mergeCell ref="C12:H12"/>
    <mergeCell ref="A1:H1"/>
    <mergeCell ref="A2:H2"/>
    <mergeCell ref="A3:H3"/>
    <mergeCell ref="A4:H4"/>
    <mergeCell ref="A5:A7"/>
    <mergeCell ref="B5:H5"/>
    <mergeCell ref="B6:B7"/>
    <mergeCell ref="C6:C7"/>
    <mergeCell ref="D6:D7"/>
    <mergeCell ref="E6:E7"/>
    <mergeCell ref="F6:F7"/>
    <mergeCell ref="G6:G7"/>
    <mergeCell ref="H6:H7"/>
    <mergeCell ref="B44:B52"/>
    <mergeCell ref="C48:H48"/>
    <mergeCell ref="B56:G56"/>
    <mergeCell ref="C21:H21"/>
    <mergeCell ref="B17:B25"/>
    <mergeCell ref="B26:B34"/>
    <mergeCell ref="C30:H30"/>
    <mergeCell ref="B35:B43"/>
    <mergeCell ref="C39:H39"/>
  </mergeCells>
  <pageMargins left="0.7" right="0.7" top="0.75" bottom="0.75" header="0.511811023622047" footer="0.511811023622047"/>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B12E7-B28A-4C49-9561-4A78B7BF9C04}">
  <dimension ref="A1:H76"/>
  <sheetViews>
    <sheetView zoomScale="70" zoomScaleNormal="70" workbookViewId="0">
      <selection activeCell="A39" sqref="A39:G39"/>
    </sheetView>
  </sheetViews>
  <sheetFormatPr defaultColWidth="9.1796875" defaultRowHeight="14.5" x14ac:dyDescent="0.35"/>
  <cols>
    <col min="1" max="1" width="45.7265625" style="88" customWidth="1"/>
    <col min="2" max="2" width="65.7265625" style="88" customWidth="1"/>
    <col min="3" max="5" width="25.7265625" style="88" customWidth="1"/>
    <col min="6" max="6" width="25.7265625" style="140" customWidth="1"/>
    <col min="7" max="7" width="25.7265625" style="88" customWidth="1"/>
    <col min="8" max="16384" width="9.1796875" style="88"/>
  </cols>
  <sheetData>
    <row r="1" spans="1:8" ht="45" customHeight="1" thickBot="1" x14ac:dyDescent="0.4">
      <c r="A1" s="226" t="s">
        <v>0</v>
      </c>
      <c r="B1" s="227"/>
      <c r="C1" s="227"/>
      <c r="D1" s="227"/>
      <c r="E1" s="227"/>
      <c r="F1" s="228"/>
    </row>
    <row r="2" spans="1:8" ht="30" customHeight="1" thickBot="1" x14ac:dyDescent="0.4">
      <c r="A2" s="229" t="s">
        <v>51</v>
      </c>
      <c r="B2" s="230"/>
      <c r="C2" s="230"/>
      <c r="D2" s="230"/>
      <c r="E2" s="230"/>
      <c r="F2" s="231"/>
    </row>
    <row r="3" spans="1:8" ht="19" customHeight="1" x14ac:dyDescent="0.35">
      <c r="A3" s="89" t="s">
        <v>52</v>
      </c>
      <c r="B3" s="90" t="s">
        <v>53</v>
      </c>
      <c r="C3" s="91" t="s">
        <v>54</v>
      </c>
      <c r="D3" s="92" t="s">
        <v>55</v>
      </c>
      <c r="E3" s="92" t="s">
        <v>56</v>
      </c>
      <c r="F3" s="93" t="s">
        <v>57</v>
      </c>
    </row>
    <row r="4" spans="1:8" ht="31.5" thickBot="1" x14ac:dyDescent="0.4">
      <c r="A4" s="94" t="s">
        <v>58</v>
      </c>
      <c r="B4" s="95"/>
      <c r="C4" s="96"/>
      <c r="D4" s="97"/>
      <c r="E4" s="98" t="s">
        <v>59</v>
      </c>
      <c r="F4" s="99"/>
    </row>
    <row r="5" spans="1:8" ht="16.75" customHeight="1" x14ac:dyDescent="0.35">
      <c r="A5" s="100" t="s">
        <v>60</v>
      </c>
      <c r="B5" s="101"/>
      <c r="C5" s="101"/>
      <c r="D5" s="102"/>
      <c r="E5" s="102"/>
      <c r="F5" s="103"/>
    </row>
    <row r="6" spans="1:8" ht="16.75" customHeight="1" x14ac:dyDescent="0.35">
      <c r="A6" s="104" t="s">
        <v>61</v>
      </c>
      <c r="B6" s="105"/>
      <c r="C6" s="106" t="s">
        <v>62</v>
      </c>
      <c r="D6" s="107">
        <v>0.2</v>
      </c>
      <c r="E6" s="108" t="s">
        <v>63</v>
      </c>
      <c r="F6" s="109" t="s">
        <v>64</v>
      </c>
    </row>
    <row r="7" spans="1:8" ht="16.75" customHeight="1" x14ac:dyDescent="0.35">
      <c r="A7" s="104" t="s">
        <v>65</v>
      </c>
      <c r="B7" s="105"/>
      <c r="C7" s="106" t="s">
        <v>66</v>
      </c>
      <c r="D7" s="107">
        <v>0.05</v>
      </c>
      <c r="E7" s="110" t="s">
        <v>63</v>
      </c>
      <c r="F7" s="111"/>
    </row>
    <row r="8" spans="1:8" ht="16.75" customHeight="1" x14ac:dyDescent="0.35">
      <c r="A8" s="112" t="s">
        <v>67</v>
      </c>
      <c r="B8" s="106"/>
      <c r="C8" s="106" t="s">
        <v>62</v>
      </c>
      <c r="D8" s="107">
        <v>0.05</v>
      </c>
      <c r="E8" s="110" t="s">
        <v>63</v>
      </c>
      <c r="F8" s="113"/>
    </row>
    <row r="9" spans="1:8" ht="16.75" customHeight="1" x14ac:dyDescent="0.35">
      <c r="A9" s="104" t="s">
        <v>68</v>
      </c>
      <c r="B9" s="105"/>
      <c r="C9" s="106" t="s">
        <v>62</v>
      </c>
      <c r="D9" s="107">
        <v>0.05</v>
      </c>
      <c r="E9" s="110" t="s">
        <v>69</v>
      </c>
      <c r="F9" s="111"/>
    </row>
    <row r="10" spans="1:8" ht="16.75" customHeight="1" x14ac:dyDescent="0.35">
      <c r="A10" s="104" t="s">
        <v>70</v>
      </c>
      <c r="B10" s="105"/>
      <c r="C10" s="106" t="s">
        <v>62</v>
      </c>
      <c r="D10" s="107">
        <v>0.1</v>
      </c>
      <c r="E10" s="110" t="s">
        <v>71</v>
      </c>
      <c r="F10" s="111"/>
    </row>
    <row r="11" spans="1:8" ht="16.75" customHeight="1" x14ac:dyDescent="0.35">
      <c r="A11" s="104" t="s">
        <v>72</v>
      </c>
      <c r="B11" s="105"/>
      <c r="C11" s="106" t="s">
        <v>66</v>
      </c>
      <c r="D11" s="107">
        <v>0.05</v>
      </c>
      <c r="E11" s="110" t="s">
        <v>71</v>
      </c>
      <c r="F11" s="111"/>
    </row>
    <row r="12" spans="1:8" ht="16.75" customHeight="1" x14ac:dyDescent="0.35">
      <c r="A12" s="114" t="s">
        <v>73</v>
      </c>
      <c r="B12" s="105"/>
      <c r="C12" s="106" t="s">
        <v>62</v>
      </c>
      <c r="D12" s="115">
        <v>0.1</v>
      </c>
      <c r="E12" s="116" t="s">
        <v>74</v>
      </c>
      <c r="F12" s="117"/>
    </row>
    <row r="13" spans="1:8" ht="16.75" customHeight="1" thickBot="1" x14ac:dyDescent="0.4">
      <c r="A13" s="118" t="s">
        <v>75</v>
      </c>
      <c r="B13" s="119"/>
      <c r="C13" s="120" t="s">
        <v>66</v>
      </c>
      <c r="D13" s="121">
        <v>0.4</v>
      </c>
      <c r="E13" s="122" t="s">
        <v>76</v>
      </c>
      <c r="F13" s="123"/>
    </row>
    <row r="14" spans="1:8" ht="30" customHeight="1" thickBot="1" x14ac:dyDescent="0.4">
      <c r="A14" s="232" t="s">
        <v>77</v>
      </c>
      <c r="B14" s="233"/>
      <c r="C14" s="233"/>
      <c r="D14" s="233"/>
      <c r="E14" s="233"/>
      <c r="F14" s="234"/>
      <c r="G14" s="124"/>
      <c r="H14" s="124"/>
    </row>
    <row r="15" spans="1:8" ht="16.75" customHeight="1" x14ac:dyDescent="0.35">
      <c r="A15" s="89" t="s">
        <v>52</v>
      </c>
      <c r="B15" s="90"/>
      <c r="C15" s="91" t="s">
        <v>54</v>
      </c>
      <c r="D15" s="92" t="s">
        <v>55</v>
      </c>
      <c r="E15" s="92" t="s">
        <v>56</v>
      </c>
      <c r="F15" s="93" t="s">
        <v>57</v>
      </c>
    </row>
    <row r="16" spans="1:8" ht="31.5" thickBot="1" x14ac:dyDescent="0.4">
      <c r="A16" s="125"/>
      <c r="B16" s="126"/>
      <c r="C16" s="96"/>
      <c r="D16" s="127"/>
      <c r="E16" s="128" t="s">
        <v>59</v>
      </c>
      <c r="F16" s="129"/>
    </row>
    <row r="17" spans="1:6" ht="48.65" customHeight="1" thickBot="1" x14ac:dyDescent="0.4">
      <c r="A17" s="178" t="s">
        <v>192</v>
      </c>
      <c r="B17" s="179" t="s">
        <v>193</v>
      </c>
      <c r="C17" s="180" t="s">
        <v>66</v>
      </c>
      <c r="D17" s="130">
        <v>0.6</v>
      </c>
      <c r="E17" s="185" t="s">
        <v>199</v>
      </c>
      <c r="F17" s="131"/>
    </row>
    <row r="18" spans="1:6" ht="16.75" customHeight="1" thickBot="1" x14ac:dyDescent="0.4">
      <c r="A18" s="181" t="s">
        <v>78</v>
      </c>
      <c r="B18" s="182" t="s">
        <v>187</v>
      </c>
      <c r="C18" s="180" t="s">
        <v>62</v>
      </c>
      <c r="D18" s="130">
        <v>0.3</v>
      </c>
      <c r="E18" s="185" t="s">
        <v>198</v>
      </c>
      <c r="F18" s="131"/>
    </row>
    <row r="19" spans="1:6" ht="16.75" customHeight="1" thickBot="1" x14ac:dyDescent="0.4">
      <c r="A19" s="183" t="s">
        <v>188</v>
      </c>
      <c r="B19" s="180" t="s">
        <v>189</v>
      </c>
      <c r="C19" s="182" t="s">
        <v>62</v>
      </c>
      <c r="D19" s="130">
        <v>0.1</v>
      </c>
      <c r="E19" s="185" t="s">
        <v>198</v>
      </c>
      <c r="F19" s="131"/>
    </row>
    <row r="20" spans="1:6" ht="16.75" customHeight="1" thickBot="1" x14ac:dyDescent="0.4">
      <c r="A20" s="132"/>
      <c r="B20" s="133"/>
      <c r="C20" s="134"/>
      <c r="D20" s="135"/>
      <c r="E20" s="136"/>
      <c r="F20" s="137"/>
    </row>
    <row r="21" spans="1:6" ht="16.75" customHeight="1" thickBot="1" x14ac:dyDescent="0.4">
      <c r="A21" s="132"/>
      <c r="B21" s="133"/>
      <c r="C21" s="134"/>
      <c r="D21" s="135"/>
      <c r="E21" s="136"/>
      <c r="F21" s="137"/>
    </row>
    <row r="22" spans="1:6" ht="16.75" customHeight="1" thickBot="1" x14ac:dyDescent="0.4">
      <c r="A22" s="132"/>
      <c r="B22" s="133"/>
      <c r="C22" s="134"/>
      <c r="D22" s="135"/>
      <c r="E22" s="136"/>
      <c r="F22" s="137"/>
    </row>
    <row r="23" spans="1:6" ht="16.75" customHeight="1" thickBot="1" x14ac:dyDescent="0.4">
      <c r="A23" s="132"/>
      <c r="B23" s="133"/>
      <c r="C23" s="134"/>
      <c r="D23" s="135"/>
      <c r="E23" s="136"/>
      <c r="F23" s="137"/>
    </row>
    <row r="24" spans="1:6" ht="16.75" customHeight="1" thickBot="1" x14ac:dyDescent="0.4">
      <c r="A24" s="132"/>
      <c r="B24" s="133"/>
      <c r="C24" s="134"/>
      <c r="D24" s="135"/>
      <c r="E24" s="136"/>
      <c r="F24" s="137"/>
    </row>
    <row r="25" spans="1:6" ht="16.75" customHeight="1" thickBot="1" x14ac:dyDescent="0.4">
      <c r="A25" s="132"/>
      <c r="B25" s="133"/>
      <c r="C25" s="134"/>
      <c r="D25" s="135"/>
      <c r="E25" s="136"/>
      <c r="F25" s="137"/>
    </row>
    <row r="26" spans="1:6" ht="16.75" customHeight="1" thickBot="1" x14ac:dyDescent="0.4">
      <c r="A26" s="132"/>
      <c r="B26" s="133"/>
      <c r="C26" s="134"/>
      <c r="D26" s="135"/>
      <c r="E26" s="136"/>
      <c r="F26" s="137"/>
    </row>
    <row r="27" spans="1:6" ht="16.75" customHeight="1" x14ac:dyDescent="0.35">
      <c r="D27" s="235"/>
      <c r="E27" s="235"/>
      <c r="F27" s="235"/>
    </row>
    <row r="28" spans="1:6" ht="16.75" customHeight="1" x14ac:dyDescent="0.35">
      <c r="C28" s="138" t="s">
        <v>79</v>
      </c>
      <c r="D28" s="139">
        <f>SUMIF(C17:C26, "Individual", D17:D26)</f>
        <v>0.4</v>
      </c>
    </row>
    <row r="29" spans="1:6" ht="16.75" customHeight="1" thickBot="1" x14ac:dyDescent="0.4">
      <c r="C29" s="138" t="s">
        <v>80</v>
      </c>
      <c r="D29" s="139">
        <f>SUMIF(C17:C26, "Team", D17:D26)</f>
        <v>0.6</v>
      </c>
    </row>
    <row r="30" spans="1:6" ht="16.75" customHeight="1" thickBot="1" x14ac:dyDescent="0.4">
      <c r="B30" s="88" t="s">
        <v>81</v>
      </c>
      <c r="C30" s="141" t="s">
        <v>82</v>
      </c>
      <c r="D30" s="142">
        <f>SUM(D17:D26)</f>
        <v>0.99999999999999989</v>
      </c>
    </row>
    <row r="31" spans="1:6" ht="16.75" customHeight="1" thickBot="1" x14ac:dyDescent="0.4"/>
    <row r="32" spans="1:6" s="143" customFormat="1" ht="16.75" customHeight="1" thickBot="1" x14ac:dyDescent="0.5">
      <c r="A32" s="236" t="s">
        <v>194</v>
      </c>
      <c r="B32" s="237"/>
      <c r="C32" s="237"/>
      <c r="D32" s="237"/>
      <c r="E32" s="237"/>
      <c r="F32" s="238"/>
    </row>
    <row r="33" spans="1:7" ht="52.15" customHeight="1" thickBot="1" x14ac:dyDescent="0.4">
      <c r="A33" s="239"/>
      <c r="B33" s="240"/>
      <c r="C33" s="240"/>
      <c r="D33" s="240"/>
      <c r="E33" s="240"/>
      <c r="F33" s="241"/>
    </row>
    <row r="34" spans="1:7" ht="15" thickBot="1" x14ac:dyDescent="0.4">
      <c r="A34" s="144"/>
      <c r="B34" s="145"/>
      <c r="C34" s="145"/>
      <c r="D34" s="145"/>
      <c r="E34" s="145"/>
      <c r="F34" s="145"/>
    </row>
    <row r="35" spans="1:7" ht="30" customHeight="1" thickBot="1" x14ac:dyDescent="0.4">
      <c r="A35" s="242" t="s">
        <v>83</v>
      </c>
      <c r="B35" s="243"/>
      <c r="C35" s="243"/>
      <c r="D35" s="243"/>
      <c r="E35" s="243"/>
      <c r="F35" s="244"/>
    </row>
    <row r="36" spans="1:7" s="143" customFormat="1" ht="16.75" customHeight="1" thickBot="1" x14ac:dyDescent="0.5">
      <c r="A36" s="236" t="s">
        <v>195</v>
      </c>
      <c r="B36" s="237"/>
      <c r="C36" s="237"/>
      <c r="D36" s="237"/>
      <c r="E36" s="237"/>
      <c r="F36" s="238"/>
    </row>
    <row r="37" spans="1:7" ht="64.900000000000006" customHeight="1" thickBot="1" x14ac:dyDescent="0.4">
      <c r="A37" s="239" t="s">
        <v>197</v>
      </c>
      <c r="B37" s="245"/>
      <c r="C37" s="245"/>
      <c r="D37" s="245"/>
      <c r="E37" s="245"/>
      <c r="F37" s="246"/>
    </row>
    <row r="38" spans="1:7" ht="16.75" customHeight="1" x14ac:dyDescent="0.45">
      <c r="A38" s="146"/>
      <c r="B38" s="146"/>
    </row>
    <row r="39" spans="1:7" ht="16.75" customHeight="1" x14ac:dyDescent="0.45">
      <c r="A39" s="247" t="s">
        <v>166</v>
      </c>
      <c r="B39" s="247"/>
      <c r="C39" s="247"/>
      <c r="D39" s="247"/>
      <c r="E39" s="247"/>
      <c r="F39" s="247"/>
      <c r="G39" s="247"/>
    </row>
    <row r="40" spans="1:7" ht="16.75" customHeight="1" x14ac:dyDescent="0.35">
      <c r="A40" s="147" t="s">
        <v>84</v>
      </c>
      <c r="B40" s="147" t="s">
        <v>85</v>
      </c>
      <c r="C40" s="148" t="s">
        <v>86</v>
      </c>
      <c r="D40" s="148" t="s">
        <v>87</v>
      </c>
      <c r="E40" s="148" t="s">
        <v>88</v>
      </c>
      <c r="F40" s="148" t="s">
        <v>89</v>
      </c>
      <c r="G40" s="148" t="s">
        <v>90</v>
      </c>
    </row>
    <row r="41" spans="1:7" ht="201.75" customHeight="1" x14ac:dyDescent="0.35">
      <c r="A41" s="149" t="s">
        <v>91</v>
      </c>
      <c r="B41" s="150">
        <v>0.15</v>
      </c>
      <c r="C41" s="151" t="s">
        <v>92</v>
      </c>
      <c r="D41" s="151" t="s">
        <v>93</v>
      </c>
      <c r="E41" s="151" t="s">
        <v>94</v>
      </c>
      <c r="F41" s="151" t="s">
        <v>95</v>
      </c>
      <c r="G41" s="151" t="s">
        <v>96</v>
      </c>
    </row>
    <row r="42" spans="1:7" ht="155.25" customHeight="1" x14ac:dyDescent="0.35">
      <c r="A42" s="149" t="s">
        <v>97</v>
      </c>
      <c r="B42" s="150">
        <v>0.1</v>
      </c>
      <c r="C42" s="151" t="s">
        <v>98</v>
      </c>
      <c r="D42" s="151" t="s">
        <v>99</v>
      </c>
      <c r="E42" s="151" t="s">
        <v>100</v>
      </c>
      <c r="F42" s="151" t="s">
        <v>101</v>
      </c>
      <c r="G42" s="151" t="s">
        <v>102</v>
      </c>
    </row>
    <row r="43" spans="1:7" ht="92.25" customHeight="1" x14ac:dyDescent="0.35">
      <c r="A43" s="149" t="s">
        <v>181</v>
      </c>
      <c r="B43" s="150">
        <v>0.15</v>
      </c>
      <c r="C43" s="151" t="s">
        <v>182</v>
      </c>
      <c r="D43" s="151" t="s">
        <v>183</v>
      </c>
      <c r="E43" s="151" t="s">
        <v>184</v>
      </c>
      <c r="F43" s="151" t="s">
        <v>185</v>
      </c>
      <c r="G43" s="151" t="s">
        <v>190</v>
      </c>
    </row>
    <row r="44" spans="1:7" ht="106.15" customHeight="1" x14ac:dyDescent="0.35">
      <c r="A44" s="152" t="s">
        <v>186</v>
      </c>
      <c r="B44" s="184">
        <v>0.1</v>
      </c>
      <c r="C44" s="151" t="s">
        <v>196</v>
      </c>
      <c r="D44" s="151" t="s">
        <v>196</v>
      </c>
      <c r="E44" s="151" t="s">
        <v>196</v>
      </c>
      <c r="F44" s="151" t="s">
        <v>196</v>
      </c>
      <c r="G44" s="151" t="s">
        <v>196</v>
      </c>
    </row>
    <row r="45" spans="1:7" ht="77.5" customHeight="1" x14ac:dyDescent="0.35">
      <c r="A45" s="152" t="s">
        <v>103</v>
      </c>
      <c r="B45" s="184">
        <v>0.1</v>
      </c>
      <c r="C45" s="151" t="s">
        <v>104</v>
      </c>
      <c r="D45" s="151" t="s">
        <v>105</v>
      </c>
      <c r="E45" s="151" t="s">
        <v>106</v>
      </c>
      <c r="F45" s="151" t="s">
        <v>107</v>
      </c>
      <c r="G45" s="151" t="s">
        <v>108</v>
      </c>
    </row>
    <row r="46" spans="1:7" ht="30" customHeight="1" x14ac:dyDescent="0.45">
      <c r="A46" s="153" t="s">
        <v>109</v>
      </c>
      <c r="B46" s="154">
        <f>SUM(B41:B45)</f>
        <v>0.6</v>
      </c>
      <c r="D46" s="155"/>
    </row>
    <row r="47" spans="1:7" ht="16.75" customHeight="1" x14ac:dyDescent="0.45">
      <c r="A47" s="153"/>
      <c r="B47" s="154"/>
      <c r="D47" s="155"/>
    </row>
    <row r="48" spans="1:7" ht="16.75" customHeight="1" x14ac:dyDescent="0.35"/>
    <row r="49" ht="16.75" customHeight="1" x14ac:dyDescent="0.35"/>
    <row r="50" ht="16.75" customHeight="1" x14ac:dyDescent="0.35"/>
    <row r="51" ht="16.75" customHeight="1" x14ac:dyDescent="0.35"/>
    <row r="52" ht="16.75" customHeight="1" x14ac:dyDescent="0.35"/>
    <row r="53" ht="16.75" customHeight="1" x14ac:dyDescent="0.35"/>
    <row r="54" ht="16.75" customHeight="1" x14ac:dyDescent="0.35"/>
    <row r="55" ht="16.75" customHeight="1" x14ac:dyDescent="0.35"/>
    <row r="56" ht="16.75" customHeight="1" x14ac:dyDescent="0.35"/>
    <row r="57" ht="16.75" customHeight="1" x14ac:dyDescent="0.35"/>
    <row r="58" ht="16.75" customHeight="1" x14ac:dyDescent="0.35"/>
    <row r="59" ht="16.75" customHeight="1" x14ac:dyDescent="0.35"/>
    <row r="60" ht="16.75" customHeight="1" x14ac:dyDescent="0.35"/>
    <row r="61" ht="16.75" customHeight="1" x14ac:dyDescent="0.35"/>
    <row r="62" ht="16.75" customHeight="1" x14ac:dyDescent="0.35"/>
    <row r="63" ht="16.75" customHeight="1" x14ac:dyDescent="0.35"/>
    <row r="64" ht="16.75" customHeight="1" x14ac:dyDescent="0.35"/>
    <row r="65" ht="16.75" customHeight="1" x14ac:dyDescent="0.35"/>
    <row r="66" ht="16.75" customHeight="1" x14ac:dyDescent="0.35"/>
    <row r="67" ht="16.75" customHeight="1" x14ac:dyDescent="0.35"/>
    <row r="68" ht="16.75" customHeight="1" x14ac:dyDescent="0.35"/>
    <row r="69" ht="16.75" customHeight="1" x14ac:dyDescent="0.35"/>
    <row r="70" ht="16.75" customHeight="1" x14ac:dyDescent="0.35"/>
    <row r="71" ht="16.75" customHeight="1" x14ac:dyDescent="0.35"/>
    <row r="72" ht="16.75" customHeight="1" x14ac:dyDescent="0.35"/>
    <row r="73" ht="16.75" customHeight="1" x14ac:dyDescent="0.35"/>
    <row r="74" ht="16.75" customHeight="1" x14ac:dyDescent="0.35"/>
    <row r="75" ht="16.75" customHeight="1" x14ac:dyDescent="0.35"/>
    <row r="76" ht="16.75" customHeight="1" x14ac:dyDescent="0.35"/>
  </sheetData>
  <dataConsolidate/>
  <mergeCells count="10">
    <mergeCell ref="A33:F33"/>
    <mergeCell ref="A35:F35"/>
    <mergeCell ref="A36:F36"/>
    <mergeCell ref="A37:F37"/>
    <mergeCell ref="A39:G39"/>
    <mergeCell ref="A1:F1"/>
    <mergeCell ref="A2:F2"/>
    <mergeCell ref="A14:F14"/>
    <mergeCell ref="D27:F27"/>
    <mergeCell ref="A32:F32"/>
  </mergeCells>
  <conditionalFormatting sqref="A17:F26">
    <cfRule type="containsBlanks" dxfId="1" priority="1">
      <formula>LEN(TRIM(A17))=0</formula>
    </cfRule>
  </conditionalFormatting>
  <conditionalFormatting sqref="A37:F37">
    <cfRule type="containsBlanks" dxfId="0" priority="3">
      <formula>LEN(TRIM(A37))=0</formula>
    </cfRule>
  </conditionalFormatting>
  <dataValidations count="1">
    <dataValidation type="list" allowBlank="1" showInputMessage="1" showErrorMessage="1" sqref="C17:C26 C6:C13" xr:uid="{A2D72F73-F68C-4EE3-BE40-FEEFC7C67A8E}">
      <formula1>"Individual, Team"</formula1>
    </dataValidation>
  </dataValidation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78"/>
  <sheetViews>
    <sheetView topLeftCell="A11" zoomScale="85" zoomScaleNormal="85" workbookViewId="0">
      <selection activeCell="B56" sqref="B56:I56"/>
    </sheetView>
  </sheetViews>
  <sheetFormatPr defaultColWidth="8.81640625" defaultRowHeight="14.5" x14ac:dyDescent="0.35"/>
  <cols>
    <col min="1" max="1" width="36.7265625" customWidth="1"/>
    <col min="2" max="2" width="17.7265625" customWidth="1"/>
    <col min="3" max="3" width="9.453125" customWidth="1"/>
    <col min="4" max="4" width="11" hidden="1" customWidth="1"/>
    <col min="5" max="5" width="17.7265625" customWidth="1"/>
    <col min="6" max="6" width="15.453125" customWidth="1"/>
    <col min="7" max="7" width="17.81640625" style="30" customWidth="1"/>
    <col min="8" max="8" width="15" customWidth="1"/>
    <col min="9" max="9" width="11" customWidth="1"/>
  </cols>
  <sheetData>
    <row r="1" spans="1:10" ht="45" customHeight="1" x14ac:dyDescent="0.35">
      <c r="A1" s="188" t="s">
        <v>0</v>
      </c>
      <c r="B1" s="188"/>
      <c r="C1" s="188"/>
      <c r="D1" s="188"/>
      <c r="E1" s="188"/>
      <c r="F1" s="188"/>
      <c r="G1" s="188"/>
      <c r="H1" s="188"/>
      <c r="I1" s="188"/>
    </row>
    <row r="2" spans="1:10" ht="30" customHeight="1" x14ac:dyDescent="0.35">
      <c r="A2" s="248" t="s">
        <v>110</v>
      </c>
      <c r="B2" s="248"/>
      <c r="C2" s="248"/>
      <c r="D2" s="248"/>
      <c r="E2" s="248"/>
      <c r="F2" s="248"/>
      <c r="G2" s="248"/>
      <c r="H2" s="248"/>
      <c r="I2" s="248"/>
    </row>
    <row r="3" spans="1:10" ht="30" customHeight="1" x14ac:dyDescent="0.35">
      <c r="A3" s="217" t="s">
        <v>27</v>
      </c>
      <c r="B3" s="217"/>
      <c r="C3" s="217"/>
      <c r="D3" s="217"/>
      <c r="E3" s="217"/>
      <c r="F3" s="217"/>
      <c r="G3" s="217"/>
      <c r="H3" s="217"/>
      <c r="I3" s="217"/>
      <c r="J3" s="4"/>
    </row>
    <row r="4" spans="1:10" ht="16.5" customHeight="1" x14ac:dyDescent="0.35">
      <c r="A4" s="31" t="s">
        <v>111</v>
      </c>
      <c r="B4" s="249" t="s">
        <v>112</v>
      </c>
      <c r="C4" s="249"/>
      <c r="D4" s="249"/>
      <c r="E4" s="249" t="s">
        <v>113</v>
      </c>
      <c r="F4" s="249"/>
      <c r="G4" s="32" t="s">
        <v>114</v>
      </c>
      <c r="H4" s="250" t="s">
        <v>115</v>
      </c>
      <c r="I4" s="250"/>
    </row>
    <row r="5" spans="1:10" ht="33" customHeight="1" x14ac:dyDescent="0.35">
      <c r="A5" s="251" t="s">
        <v>116</v>
      </c>
      <c r="B5" s="252" t="s">
        <v>117</v>
      </c>
      <c r="C5" s="252"/>
      <c r="D5" s="252"/>
      <c r="E5" s="253" t="s">
        <v>118</v>
      </c>
      <c r="F5" s="253"/>
      <c r="G5" s="37" t="s">
        <v>119</v>
      </c>
      <c r="H5" s="254" t="s">
        <v>120</v>
      </c>
      <c r="I5" s="254"/>
    </row>
    <row r="6" spans="1:10" ht="33" customHeight="1" x14ac:dyDescent="0.35">
      <c r="A6" s="251"/>
      <c r="B6" s="252" t="s">
        <v>121</v>
      </c>
      <c r="C6" s="252"/>
      <c r="D6" s="252"/>
      <c r="E6" s="255" t="s">
        <v>122</v>
      </c>
      <c r="F6" s="255"/>
      <c r="G6" s="172" t="s">
        <v>119</v>
      </c>
      <c r="H6" s="256" t="s">
        <v>120</v>
      </c>
      <c r="I6" s="256"/>
    </row>
    <row r="7" spans="1:10" ht="16.5" customHeight="1" x14ac:dyDescent="0.35">
      <c r="A7" s="251"/>
      <c r="B7" s="257"/>
      <c r="C7" s="257"/>
      <c r="D7" s="257"/>
      <c r="E7" s="257"/>
      <c r="F7" s="257"/>
      <c r="G7" s="33"/>
      <c r="H7" s="258"/>
      <c r="I7" s="258"/>
    </row>
    <row r="8" spans="1:10" ht="16.5" customHeight="1" x14ac:dyDescent="0.35">
      <c r="A8" s="251"/>
      <c r="B8" s="257"/>
      <c r="C8" s="257"/>
      <c r="D8" s="257"/>
      <c r="E8" s="257"/>
      <c r="F8" s="257"/>
      <c r="G8" s="33"/>
      <c r="H8" s="258"/>
      <c r="I8" s="258"/>
    </row>
    <row r="9" spans="1:10" ht="16.5" customHeight="1" x14ac:dyDescent="0.35">
      <c r="A9" s="251"/>
      <c r="B9" s="259"/>
      <c r="C9" s="259"/>
      <c r="D9" s="259"/>
      <c r="E9" s="259"/>
      <c r="F9" s="259"/>
      <c r="G9" s="34"/>
      <c r="H9" s="260"/>
      <c r="I9" s="260"/>
    </row>
    <row r="10" spans="1:10" ht="16.5" customHeight="1" x14ac:dyDescent="0.35">
      <c r="A10" s="31" t="s">
        <v>123</v>
      </c>
      <c r="B10" s="261" t="s">
        <v>123</v>
      </c>
      <c r="C10" s="261"/>
      <c r="D10" s="261"/>
      <c r="E10" s="261" t="s">
        <v>113</v>
      </c>
      <c r="F10" s="261"/>
      <c r="G10" s="35" t="s">
        <v>114</v>
      </c>
      <c r="H10" s="262" t="s">
        <v>115</v>
      </c>
      <c r="I10" s="262"/>
    </row>
    <row r="11" spans="1:10" ht="16.5" customHeight="1" x14ac:dyDescent="0.35">
      <c r="A11" s="251" t="s">
        <v>124</v>
      </c>
      <c r="B11" s="263"/>
      <c r="C11" s="263"/>
      <c r="D11" s="263"/>
      <c r="E11" s="257"/>
      <c r="F11" s="257"/>
      <c r="G11" s="33"/>
      <c r="H11" s="258"/>
      <c r="I11" s="258"/>
    </row>
    <row r="12" spans="1:10" ht="16.5" customHeight="1" x14ac:dyDescent="0.35">
      <c r="A12" s="251"/>
      <c r="B12" s="263"/>
      <c r="C12" s="263"/>
      <c r="D12" s="263"/>
      <c r="E12" s="257"/>
      <c r="F12" s="257"/>
      <c r="G12" s="33"/>
      <c r="H12" s="258"/>
      <c r="I12" s="258"/>
    </row>
    <row r="13" spans="1:10" ht="16.5" customHeight="1" x14ac:dyDescent="0.35">
      <c r="A13" s="251"/>
      <c r="B13" s="257"/>
      <c r="C13" s="257"/>
      <c r="D13" s="257"/>
      <c r="E13" s="257"/>
      <c r="F13" s="257"/>
      <c r="G13" s="33"/>
      <c r="H13" s="258"/>
      <c r="I13" s="258"/>
    </row>
    <row r="14" spans="1:10" ht="16.5" customHeight="1" x14ac:dyDescent="0.35">
      <c r="A14" s="251"/>
      <c r="B14" s="257"/>
      <c r="C14" s="257"/>
      <c r="D14" s="257"/>
      <c r="E14" s="257"/>
      <c r="F14" s="257"/>
      <c r="G14" s="33"/>
      <c r="H14" s="258"/>
      <c r="I14" s="258"/>
    </row>
    <row r="15" spans="1:10" ht="16.5" customHeight="1" x14ac:dyDescent="0.35">
      <c r="A15" s="251"/>
      <c r="B15" s="259"/>
      <c r="C15" s="259"/>
      <c r="D15" s="259"/>
      <c r="E15" s="259"/>
      <c r="F15" s="259"/>
      <c r="G15" s="34"/>
      <c r="H15" s="260"/>
      <c r="I15" s="260"/>
    </row>
    <row r="16" spans="1:10" ht="16.5" customHeight="1" x14ac:dyDescent="0.35">
      <c r="A16" s="36" t="s">
        <v>125</v>
      </c>
      <c r="B16" s="261" t="s">
        <v>125</v>
      </c>
      <c r="C16" s="261"/>
      <c r="D16" s="261"/>
      <c r="E16" s="261" t="s">
        <v>113</v>
      </c>
      <c r="F16" s="261"/>
      <c r="G16" s="35" t="s">
        <v>114</v>
      </c>
      <c r="H16" s="262" t="s">
        <v>115</v>
      </c>
      <c r="I16" s="262"/>
    </row>
    <row r="17" spans="1:9" ht="16.5" customHeight="1" x14ac:dyDescent="0.35">
      <c r="A17" s="251" t="s">
        <v>126</v>
      </c>
      <c r="B17" s="257"/>
      <c r="C17" s="257"/>
      <c r="D17" s="257"/>
      <c r="E17" s="255"/>
      <c r="F17" s="255"/>
      <c r="G17" s="37"/>
      <c r="H17" s="256"/>
      <c r="I17" s="256"/>
    </row>
    <row r="18" spans="1:9" ht="16.5" customHeight="1" x14ac:dyDescent="0.35">
      <c r="A18" s="251"/>
      <c r="B18" s="257"/>
      <c r="C18" s="257"/>
      <c r="D18" s="257"/>
      <c r="E18" s="257"/>
      <c r="F18" s="257"/>
      <c r="G18" s="33"/>
      <c r="H18" s="258"/>
      <c r="I18" s="258"/>
    </row>
    <row r="19" spans="1:9" ht="16.5" customHeight="1" x14ac:dyDescent="0.35">
      <c r="A19" s="251"/>
      <c r="B19" s="257"/>
      <c r="C19" s="257"/>
      <c r="D19" s="257"/>
      <c r="E19" s="257"/>
      <c r="F19" s="257"/>
      <c r="G19" s="33"/>
      <c r="H19" s="258"/>
      <c r="I19" s="258"/>
    </row>
    <row r="20" spans="1:9" ht="16.5" customHeight="1" x14ac:dyDescent="0.35">
      <c r="A20" s="251"/>
      <c r="B20" s="257"/>
      <c r="C20" s="257"/>
      <c r="D20" s="257"/>
      <c r="E20" s="257"/>
      <c r="F20" s="257"/>
      <c r="G20" s="33"/>
      <c r="H20" s="258"/>
      <c r="I20" s="258"/>
    </row>
    <row r="21" spans="1:9" ht="54" customHeight="1" x14ac:dyDescent="0.35">
      <c r="A21" s="251"/>
      <c r="B21" s="259"/>
      <c r="C21" s="259"/>
      <c r="D21" s="259"/>
      <c r="E21" s="259"/>
      <c r="F21" s="259"/>
      <c r="G21" s="34"/>
      <c r="H21" s="260"/>
      <c r="I21" s="260"/>
    </row>
    <row r="22" spans="1:9" ht="16.5" customHeight="1" x14ac:dyDescent="0.35">
      <c r="A22" s="38" t="s">
        <v>127</v>
      </c>
      <c r="B22" s="261" t="s">
        <v>127</v>
      </c>
      <c r="C22" s="261"/>
      <c r="D22" s="261"/>
      <c r="E22" s="261" t="s">
        <v>113</v>
      </c>
      <c r="F22" s="261"/>
      <c r="G22" s="35" t="s">
        <v>114</v>
      </c>
      <c r="H22" s="262" t="s">
        <v>115</v>
      </c>
      <c r="I22" s="262"/>
    </row>
    <row r="23" spans="1:9" ht="33" customHeight="1" x14ac:dyDescent="0.35">
      <c r="A23" s="251" t="s">
        <v>128</v>
      </c>
      <c r="B23" s="264" t="s">
        <v>129</v>
      </c>
      <c r="C23" s="264"/>
      <c r="D23" s="264"/>
      <c r="E23" s="253" t="s">
        <v>130</v>
      </c>
      <c r="F23" s="253"/>
      <c r="G23" s="33"/>
      <c r="H23" s="258"/>
      <c r="I23" s="258"/>
    </row>
    <row r="24" spans="1:9" ht="16.5" customHeight="1" x14ac:dyDescent="0.35">
      <c r="A24" s="251"/>
      <c r="B24" s="257"/>
      <c r="C24" s="257"/>
      <c r="D24" s="257"/>
      <c r="E24" s="257"/>
      <c r="F24" s="257"/>
      <c r="G24" s="33"/>
      <c r="H24" s="258"/>
      <c r="I24" s="258"/>
    </row>
    <row r="25" spans="1:9" ht="16.5" customHeight="1" x14ac:dyDescent="0.35">
      <c r="A25" s="251"/>
      <c r="B25" s="257"/>
      <c r="C25" s="257"/>
      <c r="D25" s="257"/>
      <c r="E25" s="257"/>
      <c r="F25" s="257"/>
      <c r="G25" s="33"/>
      <c r="H25" s="258"/>
      <c r="I25" s="258"/>
    </row>
    <row r="26" spans="1:9" ht="16.5" customHeight="1" x14ac:dyDescent="0.35">
      <c r="A26" s="251"/>
      <c r="B26" s="257"/>
      <c r="C26" s="257"/>
      <c r="D26" s="257"/>
      <c r="E26" s="257"/>
      <c r="F26" s="257"/>
      <c r="G26" s="33"/>
      <c r="H26" s="258"/>
      <c r="I26" s="258"/>
    </row>
    <row r="27" spans="1:9" ht="16.5" customHeight="1" x14ac:dyDescent="0.35">
      <c r="A27" s="251"/>
      <c r="B27" s="259"/>
      <c r="C27" s="259"/>
      <c r="D27" s="259"/>
      <c r="E27" s="259"/>
      <c r="F27" s="259"/>
      <c r="G27" s="34"/>
      <c r="H27" s="260"/>
      <c r="I27" s="260"/>
    </row>
    <row r="28" spans="1:9" ht="16.5" customHeight="1" x14ac:dyDescent="0.35">
      <c r="A28" s="265" t="s">
        <v>131</v>
      </c>
      <c r="B28" s="265"/>
      <c r="C28" s="265"/>
      <c r="D28" s="265"/>
      <c r="E28" s="265"/>
      <c r="F28" s="265"/>
      <c r="G28" s="39">
        <f>SUM(G5:G9,G11:G15,G17:G21,G23:G27)</f>
        <v>0</v>
      </c>
      <c r="H28" s="266"/>
      <c r="I28" s="266"/>
    </row>
    <row r="29" spans="1:9" ht="16.5" customHeight="1" x14ac:dyDescent="0.35">
      <c r="A29" s="36" t="s">
        <v>132</v>
      </c>
      <c r="B29" s="267" t="s">
        <v>119</v>
      </c>
      <c r="C29" s="267"/>
      <c r="D29" s="267"/>
      <c r="E29" s="267"/>
      <c r="F29" s="267"/>
      <c r="G29" s="267"/>
      <c r="H29" s="267"/>
      <c r="I29" s="267"/>
    </row>
    <row r="30" spans="1:9" ht="16.5" customHeight="1" x14ac:dyDescent="0.35">
      <c r="A30" s="251" t="s">
        <v>133</v>
      </c>
      <c r="B30" s="268"/>
      <c r="C30" s="268"/>
      <c r="D30" s="268"/>
      <c r="E30" s="268"/>
      <c r="F30" s="268"/>
      <c r="G30" s="268"/>
      <c r="H30" s="268"/>
      <c r="I30" s="268"/>
    </row>
    <row r="31" spans="1:9" ht="16.5" customHeight="1" x14ac:dyDescent="0.35">
      <c r="A31" s="251"/>
      <c r="B31" s="268"/>
      <c r="C31" s="268"/>
      <c r="D31" s="268"/>
      <c r="E31" s="268"/>
      <c r="F31" s="268"/>
      <c r="G31" s="268"/>
      <c r="H31" s="268"/>
      <c r="I31" s="268"/>
    </row>
    <row r="32" spans="1:9" ht="16.5" customHeight="1" x14ac:dyDescent="0.35">
      <c r="A32" s="251"/>
      <c r="B32" s="269"/>
      <c r="C32" s="269"/>
      <c r="D32" s="269"/>
      <c r="E32" s="269"/>
      <c r="F32" s="269"/>
      <c r="G32" s="269"/>
      <c r="H32" s="269"/>
      <c r="I32" s="269"/>
    </row>
    <row r="33" spans="1:9" ht="16.5" customHeight="1" x14ac:dyDescent="0.35">
      <c r="A33" s="251"/>
      <c r="B33" s="268"/>
      <c r="C33" s="268"/>
      <c r="D33" s="268"/>
      <c r="E33" s="268"/>
      <c r="F33" s="268"/>
      <c r="G33" s="268"/>
      <c r="H33" s="268"/>
      <c r="I33" s="268"/>
    </row>
    <row r="34" spans="1:9" ht="16.5" customHeight="1" x14ac:dyDescent="0.35">
      <c r="A34" s="251"/>
      <c r="B34" s="270"/>
      <c r="C34" s="270"/>
      <c r="D34" s="270"/>
      <c r="E34" s="270"/>
      <c r="F34" s="270"/>
      <c r="G34" s="270"/>
      <c r="H34" s="270"/>
      <c r="I34" s="270"/>
    </row>
    <row r="35" spans="1:9" ht="16.5" customHeight="1" x14ac:dyDescent="0.35">
      <c r="A35" s="36" t="s">
        <v>134</v>
      </c>
      <c r="B35" s="267" t="s">
        <v>119</v>
      </c>
      <c r="C35" s="267"/>
      <c r="D35" s="267"/>
      <c r="E35" s="267"/>
      <c r="F35" s="267"/>
      <c r="G35" s="267"/>
      <c r="H35" s="267"/>
      <c r="I35" s="267"/>
    </row>
    <row r="36" spans="1:9" ht="16.5" customHeight="1" x14ac:dyDescent="0.35">
      <c r="A36" s="251" t="s">
        <v>135</v>
      </c>
      <c r="B36" s="268"/>
      <c r="C36" s="268"/>
      <c r="D36" s="268"/>
      <c r="E36" s="268"/>
      <c r="F36" s="268"/>
      <c r="G36" s="268"/>
      <c r="H36" s="268"/>
      <c r="I36" s="268"/>
    </row>
    <row r="37" spans="1:9" ht="16.5" customHeight="1" x14ac:dyDescent="0.35">
      <c r="A37" s="251"/>
      <c r="B37" s="268"/>
      <c r="C37" s="268"/>
      <c r="D37" s="268"/>
      <c r="E37" s="268"/>
      <c r="F37" s="268"/>
      <c r="G37" s="268"/>
      <c r="H37" s="268"/>
      <c r="I37" s="268"/>
    </row>
    <row r="38" spans="1:9" ht="16.5" customHeight="1" x14ac:dyDescent="0.35">
      <c r="A38" s="251"/>
      <c r="B38" s="268"/>
      <c r="C38" s="268"/>
      <c r="D38" s="268"/>
      <c r="E38" s="268"/>
      <c r="F38" s="268"/>
      <c r="G38" s="268"/>
      <c r="H38" s="268"/>
      <c r="I38" s="268"/>
    </row>
    <row r="39" spans="1:9" ht="16.5" customHeight="1" x14ac:dyDescent="0.35">
      <c r="A39" s="251"/>
      <c r="B39" s="268"/>
      <c r="C39" s="268"/>
      <c r="D39" s="268"/>
      <c r="E39" s="268"/>
      <c r="F39" s="268"/>
      <c r="G39" s="268"/>
      <c r="H39" s="268"/>
      <c r="I39" s="268"/>
    </row>
    <row r="40" spans="1:9" ht="16.5" customHeight="1" x14ac:dyDescent="0.35">
      <c r="A40" s="251"/>
      <c r="B40" s="270"/>
      <c r="C40" s="270"/>
      <c r="D40" s="270"/>
      <c r="E40" s="270"/>
      <c r="F40" s="270"/>
      <c r="G40" s="270"/>
      <c r="H40" s="270"/>
      <c r="I40" s="270"/>
    </row>
    <row r="41" spans="1:9" ht="16.5" customHeight="1" x14ac:dyDescent="0.35">
      <c r="A41" s="36" t="s">
        <v>136</v>
      </c>
      <c r="B41" s="271" t="s">
        <v>137</v>
      </c>
      <c r="C41" s="272"/>
      <c r="D41" s="272"/>
      <c r="E41" s="272"/>
      <c r="F41" s="272"/>
      <c r="G41" s="272"/>
      <c r="H41" s="272"/>
      <c r="I41" s="273"/>
    </row>
    <row r="42" spans="1:9" ht="16.5" customHeight="1" x14ac:dyDescent="0.35">
      <c r="A42" s="251" t="s">
        <v>138</v>
      </c>
      <c r="B42" s="268"/>
      <c r="C42" s="268"/>
      <c r="D42" s="268"/>
      <c r="E42" s="268"/>
      <c r="F42" s="268"/>
      <c r="G42" s="268"/>
      <c r="H42" s="268"/>
      <c r="I42" s="268"/>
    </row>
    <row r="43" spans="1:9" ht="16.5" customHeight="1" x14ac:dyDescent="0.35">
      <c r="A43" s="251"/>
      <c r="B43" s="268"/>
      <c r="C43" s="268"/>
      <c r="D43" s="268"/>
      <c r="E43" s="268"/>
      <c r="F43" s="268"/>
      <c r="G43" s="268"/>
      <c r="H43" s="268"/>
      <c r="I43" s="268"/>
    </row>
    <row r="44" spans="1:9" ht="16.5" customHeight="1" x14ac:dyDescent="0.35">
      <c r="A44" s="251"/>
      <c r="B44" s="268"/>
      <c r="C44" s="268"/>
      <c r="D44" s="268"/>
      <c r="E44" s="268"/>
      <c r="F44" s="268"/>
      <c r="G44" s="268"/>
      <c r="H44" s="268"/>
      <c r="I44" s="268"/>
    </row>
    <row r="45" spans="1:9" ht="16.5" customHeight="1" x14ac:dyDescent="0.35">
      <c r="A45" s="251"/>
      <c r="B45" s="268"/>
      <c r="C45" s="268"/>
      <c r="D45" s="268"/>
      <c r="E45" s="268"/>
      <c r="F45" s="268"/>
      <c r="G45" s="268"/>
      <c r="H45" s="268"/>
      <c r="I45" s="268"/>
    </row>
    <row r="46" spans="1:9" ht="16.5" customHeight="1" x14ac:dyDescent="0.35">
      <c r="A46" s="251"/>
      <c r="B46" s="270"/>
      <c r="C46" s="270"/>
      <c r="D46" s="270"/>
      <c r="E46" s="270"/>
      <c r="F46" s="270"/>
      <c r="G46" s="270"/>
      <c r="H46" s="270"/>
      <c r="I46" s="270"/>
    </row>
    <row r="47" spans="1:9" ht="16.5" customHeight="1" x14ac:dyDescent="0.35">
      <c r="A47" s="36" t="s">
        <v>139</v>
      </c>
      <c r="B47" s="267" t="s">
        <v>119</v>
      </c>
      <c r="C47" s="267"/>
      <c r="D47" s="267"/>
      <c r="E47" s="267"/>
      <c r="F47" s="267"/>
      <c r="G47" s="267"/>
      <c r="H47" s="267"/>
      <c r="I47" s="267"/>
    </row>
    <row r="48" spans="1:9" ht="16.5" customHeight="1" x14ac:dyDescent="0.35">
      <c r="A48" s="251" t="s">
        <v>140</v>
      </c>
      <c r="B48" s="268"/>
      <c r="C48" s="268"/>
      <c r="D48" s="268"/>
      <c r="E48" s="268"/>
      <c r="F48" s="268"/>
      <c r="G48" s="268"/>
      <c r="H48" s="268"/>
      <c r="I48" s="268"/>
    </row>
    <row r="49" spans="1:9" ht="16.5" customHeight="1" x14ac:dyDescent="0.35">
      <c r="A49" s="251"/>
      <c r="B49" s="268"/>
      <c r="C49" s="268"/>
      <c r="D49" s="268"/>
      <c r="E49" s="268"/>
      <c r="F49" s="268"/>
      <c r="G49" s="268"/>
      <c r="H49" s="268"/>
      <c r="I49" s="268"/>
    </row>
    <row r="50" spans="1:9" ht="16.5" customHeight="1" x14ac:dyDescent="0.35">
      <c r="A50" s="251"/>
      <c r="B50" s="268"/>
      <c r="C50" s="268"/>
      <c r="D50" s="268"/>
      <c r="E50" s="268"/>
      <c r="F50" s="268"/>
      <c r="G50" s="268"/>
      <c r="H50" s="268"/>
      <c r="I50" s="268"/>
    </row>
    <row r="51" spans="1:9" ht="16.5" customHeight="1" x14ac:dyDescent="0.35">
      <c r="A51" s="251"/>
      <c r="B51" s="268"/>
      <c r="C51" s="268"/>
      <c r="D51" s="268"/>
      <c r="E51" s="268"/>
      <c r="F51" s="268"/>
      <c r="G51" s="268"/>
      <c r="H51" s="268"/>
      <c r="I51" s="268"/>
    </row>
    <row r="52" spans="1:9" ht="16.5" customHeight="1" x14ac:dyDescent="0.35">
      <c r="A52" s="251"/>
      <c r="B52" s="270"/>
      <c r="C52" s="270"/>
      <c r="D52" s="270"/>
      <c r="E52" s="270"/>
      <c r="F52" s="270"/>
      <c r="G52" s="270"/>
      <c r="H52" s="270"/>
      <c r="I52" s="270"/>
    </row>
    <row r="53" spans="1:9" ht="16.5" customHeight="1" x14ac:dyDescent="0.35">
      <c r="A53" s="38" t="s">
        <v>141</v>
      </c>
      <c r="B53" s="267" t="s">
        <v>119</v>
      </c>
      <c r="C53" s="267"/>
      <c r="D53" s="267"/>
      <c r="E53" s="267"/>
      <c r="F53" s="267"/>
      <c r="G53" s="267"/>
      <c r="H53" s="267"/>
      <c r="I53" s="267"/>
    </row>
    <row r="54" spans="1:9" ht="16.5" customHeight="1" x14ac:dyDescent="0.35">
      <c r="A54" s="251" t="s">
        <v>142</v>
      </c>
      <c r="B54" s="268"/>
      <c r="C54" s="268"/>
      <c r="D54" s="268"/>
      <c r="E54" s="268"/>
      <c r="F54" s="268"/>
      <c r="G54" s="268"/>
      <c r="H54" s="268"/>
      <c r="I54" s="268"/>
    </row>
    <row r="55" spans="1:9" ht="16.5" customHeight="1" x14ac:dyDescent="0.35">
      <c r="A55" s="251"/>
      <c r="B55" s="268"/>
      <c r="C55" s="268"/>
      <c r="D55" s="268"/>
      <c r="E55" s="268"/>
      <c r="F55" s="268"/>
      <c r="G55" s="268"/>
      <c r="H55" s="268"/>
      <c r="I55" s="268"/>
    </row>
    <row r="56" spans="1:9" ht="16.5" customHeight="1" x14ac:dyDescent="0.35">
      <c r="A56" s="251"/>
      <c r="B56" s="268"/>
      <c r="C56" s="268"/>
      <c r="D56" s="268"/>
      <c r="E56" s="268"/>
      <c r="F56" s="268"/>
      <c r="G56" s="268"/>
      <c r="H56" s="268"/>
      <c r="I56" s="268"/>
    </row>
    <row r="57" spans="1:9" ht="16.5" customHeight="1" x14ac:dyDescent="0.35">
      <c r="A57" s="251"/>
      <c r="B57" s="268"/>
      <c r="C57" s="268"/>
      <c r="D57" s="268"/>
      <c r="E57" s="268"/>
      <c r="F57" s="268"/>
      <c r="G57" s="268"/>
      <c r="H57" s="268"/>
      <c r="I57" s="268"/>
    </row>
    <row r="58" spans="1:9" ht="16.5" customHeight="1" x14ac:dyDescent="0.35">
      <c r="A58" s="251"/>
      <c r="B58" s="270"/>
      <c r="C58" s="270"/>
      <c r="D58" s="270"/>
      <c r="E58" s="270"/>
      <c r="F58" s="270"/>
      <c r="G58" s="270"/>
      <c r="H58" s="270"/>
      <c r="I58" s="270"/>
    </row>
    <row r="59" spans="1:9" ht="16.5" customHeight="1" x14ac:dyDescent="0.35"/>
    <row r="60" spans="1:9" ht="16.5" customHeight="1" x14ac:dyDescent="0.35"/>
    <row r="61" spans="1:9" ht="16.5" customHeight="1" x14ac:dyDescent="0.35"/>
    <row r="62" spans="1:9" ht="16.5" customHeight="1" x14ac:dyDescent="0.35"/>
    <row r="63" spans="1:9" ht="16.5" customHeight="1" x14ac:dyDescent="0.35"/>
    <row r="64" spans="1:9" ht="16.5" customHeight="1" x14ac:dyDescent="0.35"/>
    <row r="65" ht="16.5" customHeight="1" x14ac:dyDescent="0.35"/>
    <row r="66" ht="16.5" customHeight="1" x14ac:dyDescent="0.35"/>
    <row r="67" ht="16.5" customHeight="1" x14ac:dyDescent="0.35"/>
    <row r="68" ht="16.5" customHeight="1" x14ac:dyDescent="0.35"/>
    <row r="69" ht="16.5" customHeight="1" x14ac:dyDescent="0.35"/>
    <row r="70" ht="16.5" customHeight="1" x14ac:dyDescent="0.35"/>
    <row r="71" ht="16.5" customHeight="1" x14ac:dyDescent="0.35"/>
    <row r="72" ht="16.5" customHeight="1" x14ac:dyDescent="0.35"/>
    <row r="73" ht="16.5" customHeight="1" x14ac:dyDescent="0.35"/>
    <row r="74" ht="16.5" customHeight="1" x14ac:dyDescent="0.35"/>
    <row r="75" ht="16.5" customHeight="1" x14ac:dyDescent="0.35"/>
    <row r="76" ht="16.5" customHeight="1" x14ac:dyDescent="0.35"/>
    <row r="77" ht="16.5" customHeight="1" x14ac:dyDescent="0.35"/>
    <row r="78" ht="16.5" customHeight="1" x14ac:dyDescent="0.35"/>
  </sheetData>
  <mergeCells count="116">
    <mergeCell ref="B47:I47"/>
    <mergeCell ref="A48:A52"/>
    <mergeCell ref="B48:I48"/>
    <mergeCell ref="B49:I49"/>
    <mergeCell ref="B50:I50"/>
    <mergeCell ref="B51:I51"/>
    <mergeCell ref="B52:I52"/>
    <mergeCell ref="B53:I53"/>
    <mergeCell ref="A54:A58"/>
    <mergeCell ref="B54:I54"/>
    <mergeCell ref="B55:I55"/>
    <mergeCell ref="B56:I56"/>
    <mergeCell ref="B57:I57"/>
    <mergeCell ref="B58:I58"/>
    <mergeCell ref="B35:I35"/>
    <mergeCell ref="A36:A40"/>
    <mergeCell ref="B36:I36"/>
    <mergeCell ref="B37:I37"/>
    <mergeCell ref="B38:I38"/>
    <mergeCell ref="B39:I39"/>
    <mergeCell ref="B40:I40"/>
    <mergeCell ref="B41:I41"/>
    <mergeCell ref="A42:A46"/>
    <mergeCell ref="B42:I42"/>
    <mergeCell ref="B43:I43"/>
    <mergeCell ref="B44:I44"/>
    <mergeCell ref="B45:I45"/>
    <mergeCell ref="B46:I46"/>
    <mergeCell ref="A28:F28"/>
    <mergeCell ref="H28:I28"/>
    <mergeCell ref="B29:I29"/>
    <mergeCell ref="A30:A34"/>
    <mergeCell ref="B30:I30"/>
    <mergeCell ref="B31:I31"/>
    <mergeCell ref="B32:I32"/>
    <mergeCell ref="B33:I33"/>
    <mergeCell ref="B34:I34"/>
    <mergeCell ref="B22:D22"/>
    <mergeCell ref="E22:F22"/>
    <mergeCell ref="H22:I22"/>
    <mergeCell ref="A23:A27"/>
    <mergeCell ref="B23:D23"/>
    <mergeCell ref="E23:F23"/>
    <mergeCell ref="H23:I23"/>
    <mergeCell ref="B24:D24"/>
    <mergeCell ref="E24:F24"/>
    <mergeCell ref="H24:I24"/>
    <mergeCell ref="B25:D25"/>
    <mergeCell ref="E25:F25"/>
    <mergeCell ref="H25:I25"/>
    <mergeCell ref="B26:D26"/>
    <mergeCell ref="E26:F26"/>
    <mergeCell ref="H26:I26"/>
    <mergeCell ref="B27:D27"/>
    <mergeCell ref="E27:F27"/>
    <mergeCell ref="H27:I27"/>
    <mergeCell ref="B16:D16"/>
    <mergeCell ref="E16:F16"/>
    <mergeCell ref="H16:I16"/>
    <mergeCell ref="A17:A21"/>
    <mergeCell ref="B17:D17"/>
    <mergeCell ref="E17:F17"/>
    <mergeCell ref="H17:I17"/>
    <mergeCell ref="B18:D18"/>
    <mergeCell ref="E18:F18"/>
    <mergeCell ref="H18:I18"/>
    <mergeCell ref="B19:D19"/>
    <mergeCell ref="E19:F19"/>
    <mergeCell ref="H19:I19"/>
    <mergeCell ref="B20:D20"/>
    <mergeCell ref="E20:F20"/>
    <mergeCell ref="H20:I20"/>
    <mergeCell ref="B21:D21"/>
    <mergeCell ref="E21:F21"/>
    <mergeCell ref="H21:I21"/>
    <mergeCell ref="B10:D10"/>
    <mergeCell ref="E10:F10"/>
    <mergeCell ref="H10:I10"/>
    <mergeCell ref="A11:A15"/>
    <mergeCell ref="B11:D11"/>
    <mergeCell ref="E11:F11"/>
    <mergeCell ref="H11:I11"/>
    <mergeCell ref="B12:D12"/>
    <mergeCell ref="E12:F12"/>
    <mergeCell ref="H12:I12"/>
    <mergeCell ref="B13:D13"/>
    <mergeCell ref="E13:F13"/>
    <mergeCell ref="H13:I13"/>
    <mergeCell ref="B14:D14"/>
    <mergeCell ref="E14:F14"/>
    <mergeCell ref="H14:I14"/>
    <mergeCell ref="B15:D15"/>
    <mergeCell ref="E15:F15"/>
    <mergeCell ref="H15:I15"/>
    <mergeCell ref="A1:I1"/>
    <mergeCell ref="A2:I2"/>
    <mergeCell ref="A3:I3"/>
    <mergeCell ref="B4:D4"/>
    <mergeCell ref="E4:F4"/>
    <mergeCell ref="H4:I4"/>
    <mergeCell ref="A5:A9"/>
    <mergeCell ref="B5:D5"/>
    <mergeCell ref="E5:F5"/>
    <mergeCell ref="H5:I5"/>
    <mergeCell ref="B6:D6"/>
    <mergeCell ref="E6:F6"/>
    <mergeCell ref="H6:I6"/>
    <mergeCell ref="B7:D7"/>
    <mergeCell ref="E7:F7"/>
    <mergeCell ref="H7:I7"/>
    <mergeCell ref="B8:D8"/>
    <mergeCell ref="E8:F8"/>
    <mergeCell ref="H8:I8"/>
    <mergeCell ref="B9:D9"/>
    <mergeCell ref="E9:F9"/>
    <mergeCell ref="H9:I9"/>
  </mergeCells>
  <pageMargins left="0.7" right="0.7" top="0.75" bottom="0.75" header="0.511811023622047" footer="0.511811023622047"/>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2"/>
  <sheetViews>
    <sheetView zoomScale="85" zoomScaleNormal="85" workbookViewId="0">
      <selection activeCell="C9" sqref="C9:F9"/>
    </sheetView>
  </sheetViews>
  <sheetFormatPr defaultColWidth="8.81640625" defaultRowHeight="14.5" x14ac:dyDescent="0.35"/>
  <cols>
    <col min="2" max="2" width="34.453125" customWidth="1"/>
    <col min="3" max="3" width="65.81640625" customWidth="1"/>
    <col min="4" max="4" width="18.7265625" style="1" customWidth="1"/>
    <col min="5" max="5" width="7.26953125" customWidth="1"/>
    <col min="6" max="6" width="31.453125" customWidth="1"/>
    <col min="7" max="9" width="18.7265625" customWidth="1"/>
    <col min="10" max="10" width="91.1796875" customWidth="1"/>
  </cols>
  <sheetData>
    <row r="1" spans="1:10" ht="45" customHeight="1" thickBot="1" x14ac:dyDescent="0.4">
      <c r="A1" s="188" t="s">
        <v>0</v>
      </c>
      <c r="B1" s="188"/>
      <c r="C1" s="188"/>
      <c r="D1" s="188"/>
      <c r="E1" s="188"/>
      <c r="F1" s="188"/>
      <c r="G1" s="4"/>
      <c r="H1" s="4"/>
      <c r="I1" s="4"/>
      <c r="J1" s="4"/>
    </row>
    <row r="2" spans="1:10" ht="30" customHeight="1" x14ac:dyDescent="0.35">
      <c r="A2" s="216" t="s">
        <v>143</v>
      </c>
      <c r="B2" s="216"/>
      <c r="C2" s="216"/>
      <c r="D2" s="216"/>
      <c r="E2" s="216"/>
      <c r="F2" s="216"/>
      <c r="G2" s="4"/>
      <c r="H2" s="4"/>
      <c r="I2" s="4"/>
      <c r="J2" s="4"/>
    </row>
    <row r="3" spans="1:10" ht="30" customHeight="1" x14ac:dyDescent="0.35">
      <c r="A3" s="277" t="s">
        <v>144</v>
      </c>
      <c r="B3" s="277"/>
      <c r="C3" s="277"/>
      <c r="D3" s="277"/>
      <c r="E3" s="277"/>
      <c r="F3" s="277"/>
      <c r="G3" s="4"/>
      <c r="H3" s="4"/>
      <c r="I3" s="4"/>
      <c r="J3" s="4"/>
    </row>
    <row r="4" spans="1:10" ht="30" customHeight="1" x14ac:dyDescent="0.35">
      <c r="A4" s="277" t="s">
        <v>3</v>
      </c>
      <c r="B4" s="277"/>
      <c r="C4" s="277"/>
      <c r="D4" s="277"/>
      <c r="E4" s="277"/>
      <c r="F4" s="277"/>
      <c r="G4" s="4"/>
      <c r="H4" s="4"/>
      <c r="I4" s="4"/>
      <c r="J4" s="4"/>
    </row>
    <row r="5" spans="1:10" ht="30" customHeight="1" x14ac:dyDescent="0.35">
      <c r="A5" s="277" t="s">
        <v>145</v>
      </c>
      <c r="B5" s="277"/>
      <c r="C5" s="277"/>
      <c r="D5" s="277"/>
      <c r="E5" s="277"/>
      <c r="F5" s="277"/>
      <c r="G5" s="4"/>
      <c r="H5" s="4"/>
      <c r="I5" s="4"/>
      <c r="J5" s="4"/>
    </row>
    <row r="6" spans="1:10" ht="30" customHeight="1" thickBot="1" x14ac:dyDescent="0.4">
      <c r="A6" s="278" t="s">
        <v>146</v>
      </c>
      <c r="B6" s="278"/>
      <c r="C6" s="278"/>
      <c r="D6" s="278"/>
      <c r="E6" s="278"/>
      <c r="F6" s="278"/>
      <c r="G6" s="4"/>
      <c r="H6" s="4"/>
      <c r="I6" s="4"/>
      <c r="J6" s="4"/>
    </row>
    <row r="7" spans="1:10" ht="16.5" customHeight="1" thickBot="1" x14ac:dyDescent="0.4">
      <c r="A7" s="274" t="s">
        <v>147</v>
      </c>
      <c r="B7" s="40" t="s">
        <v>148</v>
      </c>
      <c r="C7" s="267" t="s">
        <v>149</v>
      </c>
      <c r="D7" s="267"/>
      <c r="E7" s="267"/>
      <c r="F7" s="267"/>
      <c r="G7" s="41"/>
      <c r="H7" s="41"/>
    </row>
    <row r="8" spans="1:10" ht="16.5" customHeight="1" thickBot="1" x14ac:dyDescent="0.4">
      <c r="A8" s="274"/>
      <c r="B8" s="42" t="s">
        <v>150</v>
      </c>
      <c r="C8" s="258" t="s">
        <v>191</v>
      </c>
      <c r="D8" s="258"/>
      <c r="E8" s="258"/>
      <c r="F8" s="258"/>
      <c r="G8" s="41"/>
      <c r="H8" s="41"/>
    </row>
    <row r="9" spans="1:10" ht="16.5" customHeight="1" thickBot="1" x14ac:dyDescent="0.4">
      <c r="A9" s="274"/>
      <c r="B9" s="43" t="s">
        <v>151</v>
      </c>
      <c r="C9" s="279">
        <v>93764321</v>
      </c>
      <c r="D9" s="279"/>
      <c r="E9" s="279"/>
      <c r="F9" s="279"/>
    </row>
    <row r="10" spans="1:10" ht="16.5" customHeight="1" thickBot="1" x14ac:dyDescent="0.4">
      <c r="A10" s="274"/>
      <c r="B10" s="43" t="s">
        <v>152</v>
      </c>
      <c r="C10" s="279" t="s">
        <v>153</v>
      </c>
      <c r="D10" s="279"/>
      <c r="E10" s="279"/>
      <c r="F10" s="279"/>
    </row>
    <row r="11" spans="1:10" ht="16.5" customHeight="1" thickBot="1" x14ac:dyDescent="0.4">
      <c r="A11" s="274"/>
      <c r="B11" s="44"/>
      <c r="C11" s="276"/>
      <c r="D11" s="276"/>
      <c r="E11" s="276"/>
      <c r="F11" s="276"/>
    </row>
    <row r="12" spans="1:10" ht="16.5" customHeight="1" thickBot="1" x14ac:dyDescent="0.4">
      <c r="A12" s="274"/>
      <c r="B12" s="43" t="s">
        <v>154</v>
      </c>
      <c r="C12" s="268" t="s">
        <v>155</v>
      </c>
      <c r="D12" s="268"/>
      <c r="E12" s="268"/>
      <c r="F12" s="268"/>
    </row>
    <row r="13" spans="1:10" ht="16.5" customHeight="1" thickBot="1" x14ac:dyDescent="0.4">
      <c r="A13" s="274"/>
      <c r="B13" s="43" t="s">
        <v>156</v>
      </c>
      <c r="C13" s="268"/>
      <c r="D13" s="268"/>
      <c r="E13" s="268"/>
      <c r="F13" s="268"/>
    </row>
    <row r="14" spans="1:10" ht="16.5" customHeight="1" thickBot="1" x14ac:dyDescent="0.4">
      <c r="A14" s="274"/>
      <c r="B14" s="45" t="s">
        <v>157</v>
      </c>
      <c r="C14" s="270"/>
      <c r="D14" s="270"/>
      <c r="E14" s="270"/>
      <c r="F14" s="270"/>
    </row>
    <row r="15" spans="1:10" ht="16.5" customHeight="1" thickBot="1" x14ac:dyDescent="0.4">
      <c r="A15" s="274" t="s">
        <v>158</v>
      </c>
      <c r="B15" s="40" t="s">
        <v>148</v>
      </c>
      <c r="C15" s="267"/>
      <c r="D15" s="267"/>
      <c r="E15" s="267"/>
      <c r="F15" s="267"/>
    </row>
    <row r="16" spans="1:10" ht="16" thickBot="1" x14ac:dyDescent="0.4">
      <c r="A16" s="274"/>
      <c r="B16" s="42" t="s">
        <v>150</v>
      </c>
      <c r="C16" s="258"/>
      <c r="D16" s="258"/>
      <c r="E16" s="258"/>
      <c r="F16" s="258"/>
    </row>
    <row r="17" spans="1:6" ht="15" thickBot="1" x14ac:dyDescent="0.4">
      <c r="A17" s="274"/>
      <c r="B17" s="43" t="s">
        <v>151</v>
      </c>
      <c r="C17" s="275"/>
      <c r="D17" s="275"/>
      <c r="E17" s="275"/>
      <c r="F17" s="275"/>
    </row>
    <row r="18" spans="1:6" ht="15" thickBot="1" x14ac:dyDescent="0.4">
      <c r="A18" s="274"/>
      <c r="B18" s="43" t="s">
        <v>152</v>
      </c>
      <c r="C18" s="275"/>
      <c r="D18" s="275"/>
      <c r="E18" s="275"/>
      <c r="F18" s="275"/>
    </row>
    <row r="19" spans="1:6" ht="15" thickBot="1" x14ac:dyDescent="0.4">
      <c r="A19" s="274"/>
      <c r="B19" s="44"/>
      <c r="C19" s="276"/>
      <c r="D19" s="276"/>
      <c r="E19" s="276"/>
      <c r="F19" s="276"/>
    </row>
    <row r="20" spans="1:6" ht="15" thickBot="1" x14ac:dyDescent="0.4">
      <c r="A20" s="274"/>
      <c r="B20" s="43" t="s">
        <v>154</v>
      </c>
      <c r="C20" s="268"/>
      <c r="D20" s="268"/>
      <c r="E20" s="268"/>
      <c r="F20" s="268"/>
    </row>
    <row r="21" spans="1:6" ht="15" thickBot="1" x14ac:dyDescent="0.4">
      <c r="A21" s="274"/>
      <c r="B21" s="43" t="s">
        <v>156</v>
      </c>
      <c r="C21" s="268"/>
      <c r="D21" s="268"/>
      <c r="E21" s="268"/>
      <c r="F21" s="268"/>
    </row>
    <row r="22" spans="1:6" ht="15" thickBot="1" x14ac:dyDescent="0.4">
      <c r="A22" s="274"/>
      <c r="B22" s="45" t="s">
        <v>157</v>
      </c>
      <c r="C22" s="270"/>
      <c r="D22" s="270"/>
      <c r="E22" s="270"/>
      <c r="F22" s="270"/>
    </row>
  </sheetData>
  <mergeCells count="24">
    <mergeCell ref="A6:F6"/>
    <mergeCell ref="A7:A14"/>
    <mergeCell ref="C7:F7"/>
    <mergeCell ref="C8:F8"/>
    <mergeCell ref="C9:F9"/>
    <mergeCell ref="C10:F10"/>
    <mergeCell ref="C11:F11"/>
    <mergeCell ref="C12:F12"/>
    <mergeCell ref="C13:F13"/>
    <mergeCell ref="C14:F14"/>
    <mergeCell ref="A1:F1"/>
    <mergeCell ref="A2:F2"/>
    <mergeCell ref="A3:F3"/>
    <mergeCell ref="A4:F4"/>
    <mergeCell ref="A5:F5"/>
    <mergeCell ref="A15:A22"/>
    <mergeCell ref="C15:F15"/>
    <mergeCell ref="C16:F16"/>
    <mergeCell ref="C17:F17"/>
    <mergeCell ref="C18:F18"/>
    <mergeCell ref="C19:F19"/>
    <mergeCell ref="C20:F20"/>
    <mergeCell ref="C21:F21"/>
    <mergeCell ref="C22:F22"/>
  </mergeCells>
  <hyperlinks>
    <hyperlink ref="C10" r:id="rId1" xr:uid="{4C95E2E1-F46B-4837-8DB9-7B7FC5BE4EC6}"/>
  </hyperlinks>
  <pageMargins left="0.7" right="0.7" top="0.75" bottom="0.75" header="0.511811023622047" footer="0.511811023622047"/>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
  <sheetViews>
    <sheetView zoomScaleNormal="100" workbookViewId="0">
      <selection activeCell="C4" activeCellId="1" sqref="C42:F47 C4"/>
    </sheetView>
  </sheetViews>
  <sheetFormatPr defaultColWidth="8.81640625" defaultRowHeight="14.5" x14ac:dyDescent="0.35"/>
  <cols>
    <col min="1" max="1" width="6.453125" customWidth="1"/>
    <col min="2" max="2" width="20.7265625" customWidth="1"/>
    <col min="3" max="3" width="154.453125" customWidth="1"/>
    <col min="4" max="4" width="4.453125" customWidth="1"/>
  </cols>
  <sheetData>
    <row r="1" spans="1:4" ht="15.5" x14ac:dyDescent="0.35">
      <c r="A1" s="280" t="s">
        <v>159</v>
      </c>
      <c r="B1" s="280"/>
      <c r="C1" s="46" t="s">
        <v>160</v>
      </c>
    </row>
    <row r="2" spans="1:4" ht="63.75" customHeight="1" x14ac:dyDescent="0.35">
      <c r="A2" s="47">
        <v>1</v>
      </c>
      <c r="B2" s="48" t="s">
        <v>161</v>
      </c>
      <c r="C2" s="49" t="s">
        <v>162</v>
      </c>
      <c r="D2" s="1"/>
    </row>
    <row r="3" spans="1:4" ht="61.5" customHeight="1" x14ac:dyDescent="0.35">
      <c r="A3" s="47">
        <v>2</v>
      </c>
      <c r="B3" s="48" t="s">
        <v>163</v>
      </c>
      <c r="C3" s="49" t="s">
        <v>164</v>
      </c>
      <c r="D3" s="1"/>
    </row>
    <row r="4" spans="1:4" ht="45" customHeight="1" x14ac:dyDescent="0.35">
      <c r="A4" s="50">
        <v>3</v>
      </c>
      <c r="B4" s="51" t="s">
        <v>7</v>
      </c>
      <c r="C4" s="52" t="s">
        <v>165</v>
      </c>
      <c r="D4" s="1"/>
    </row>
    <row r="5" spans="1:4" ht="16.5" customHeight="1" x14ac:dyDescent="0.35"/>
    <row r="6" spans="1:4" ht="16.5" customHeight="1" x14ac:dyDescent="0.35"/>
    <row r="7" spans="1:4" ht="16.5" customHeight="1" x14ac:dyDescent="0.35"/>
    <row r="8" spans="1:4" ht="16.5" customHeight="1" x14ac:dyDescent="0.35"/>
    <row r="9" spans="1:4" ht="16.5" customHeight="1" x14ac:dyDescent="0.35"/>
  </sheetData>
  <mergeCells count="1">
    <mergeCell ref="A1:B1"/>
  </mergeCells>
  <pageMargins left="0.7" right="0.7" top="0.75" bottom="0.75"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Course Details</vt:lpstr>
      <vt:lpstr>(2) Course Outline</vt:lpstr>
      <vt:lpstr>(3) Assessment Outline</vt:lpstr>
      <vt:lpstr>(4) Course Resource </vt:lpstr>
      <vt:lpstr>(5) Instructor Details</vt:lpstr>
      <vt:lpstr>Glossary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 Keng Boon</dc:creator>
  <cp:keywords/>
  <dc:description/>
  <cp:lastModifiedBy>Thia Wei Soon</cp:lastModifiedBy>
  <cp:revision>8</cp:revision>
  <dcterms:created xsi:type="dcterms:W3CDTF">2019-01-16T06:33:31Z</dcterms:created>
  <dcterms:modified xsi:type="dcterms:W3CDTF">2026-01-08T06:04:04Z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298231-ee28-4c9e-9ffa-238d0040efda_Enabled">
    <vt:lpwstr>true</vt:lpwstr>
  </property>
  <property fmtid="{D5CDD505-2E9C-101B-9397-08002B2CF9AE}" pid="3" name="MSIP_Label_be298231-ee28-4c9e-9ffa-238d0040efda_SetDate">
    <vt:lpwstr>2026-01-08T05:58:43Z</vt:lpwstr>
  </property>
  <property fmtid="{D5CDD505-2E9C-101B-9397-08002B2CF9AE}" pid="4" name="MSIP_Label_be298231-ee28-4c9e-9ffa-238d0040efda_Method">
    <vt:lpwstr>Privileged</vt:lpwstr>
  </property>
  <property fmtid="{D5CDD505-2E9C-101B-9397-08002B2CF9AE}" pid="5" name="MSIP_Label_be298231-ee28-4c9e-9ffa-238d0040efda_Name">
    <vt:lpwstr>Public</vt:lpwstr>
  </property>
  <property fmtid="{D5CDD505-2E9C-101B-9397-08002B2CF9AE}" pid="6" name="MSIP_Label_be298231-ee28-4c9e-9ffa-238d0040efda_SiteId">
    <vt:lpwstr>3476b776-e990-4f72-b950-62489831623d</vt:lpwstr>
  </property>
  <property fmtid="{D5CDD505-2E9C-101B-9397-08002B2CF9AE}" pid="7" name="MSIP_Label_be298231-ee28-4c9e-9ffa-238d0040efda_ActionId">
    <vt:lpwstr>ebd14f52-6c2d-4dce-b1aa-dec31874b69a</vt:lpwstr>
  </property>
  <property fmtid="{D5CDD505-2E9C-101B-9397-08002B2CF9AE}" pid="8" name="MSIP_Label_be298231-ee28-4c9e-9ffa-238d0040efda_ContentBits">
    <vt:lpwstr>0</vt:lpwstr>
  </property>
  <property fmtid="{D5CDD505-2E9C-101B-9397-08002B2CF9AE}" pid="9" name="MSIP_Label_be298231-ee28-4c9e-9ffa-238d0040efda_Tag">
    <vt:lpwstr>10, 0, 1, 1</vt:lpwstr>
  </property>
</Properties>
</file>